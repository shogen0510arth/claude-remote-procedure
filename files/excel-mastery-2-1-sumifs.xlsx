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0" autoFilterDateGrouping="1"/>
  </bookViews>
  <sheets>
    <sheet name="2-1_実績集計_SUMIF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</cols>
  <sheetData>
    <row r="2" ht="19.5" customHeight="1">
      <c r="B2" s="1" t="inlineStr">
        <is>
          <t>2-1. 実績集計 ― 元データと集計結果（SUMIFS）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</row>
    <row r="6" ht="13.5" customHeight="1">
      <c r="C6" s="2" t="n"/>
      <c r="D6" s="2" t="n"/>
    </row>
    <row r="7" ht="13.5" customHeight="1">
      <c r="D7" s="168" t="inlineStr">
        <is>
          <t>予約ID</t>
        </is>
      </c>
      <c r="E7" s="168" t="inlineStr">
        <is>
          <t>施設</t>
        </is>
      </c>
      <c r="F7" s="168" t="inlineStr">
        <is>
          <t>月</t>
        </is>
      </c>
      <c r="G7" s="168" t="inlineStr">
        <is>
          <t>客室タイプ</t>
        </is>
      </c>
      <c r="H7" s="168" t="inlineStr">
        <is>
          <t>泊数</t>
        </is>
      </c>
      <c r="I7" s="168" t="inlineStr">
        <is>
          <t>宿泊人数</t>
        </is>
      </c>
      <c r="J7" s="168" t="inlineStr">
        <is>
          <t>売上(円)</t>
        </is>
      </c>
    </row>
    <row r="8" ht="13.5" customHeight="1">
      <c r="D8" s="169" t="inlineStr">
        <is>
          <t>R001</t>
        </is>
      </c>
      <c r="E8" s="169" t="inlineStr">
        <is>
          <t>西伊豆</t>
        </is>
      </c>
      <c r="F8" s="186" t="n">
        <v>7</v>
      </c>
      <c r="G8" s="169" t="inlineStr">
        <is>
          <t>スイート</t>
        </is>
      </c>
      <c r="H8" s="170" t="n">
        <v>2</v>
      </c>
      <c r="I8" s="170" t="n">
        <v>4</v>
      </c>
      <c r="J8" s="170" t="n">
        <v>160000</v>
      </c>
    </row>
    <row r="9" ht="13.5" customHeight="1">
      <c r="D9" s="169" t="inlineStr">
        <is>
          <t>R002</t>
        </is>
      </c>
      <c r="E9" s="169" t="inlineStr">
        <is>
          <t>西伊豆</t>
        </is>
      </c>
      <c r="F9" s="186" t="n">
        <v>7</v>
      </c>
      <c r="G9" s="169" t="inlineStr">
        <is>
          <t>スタンダード</t>
        </is>
      </c>
      <c r="H9" s="170" t="n">
        <v>3</v>
      </c>
      <c r="I9" s="170" t="n">
        <v>4</v>
      </c>
      <c r="J9" s="170" t="n">
        <v>108000</v>
      </c>
    </row>
    <row r="10" ht="13.5" customHeight="1">
      <c r="D10" s="169" t="inlineStr">
        <is>
          <t>R003</t>
        </is>
      </c>
      <c r="E10" s="169" t="inlineStr">
        <is>
          <t>熱海</t>
        </is>
      </c>
      <c r="F10" s="186" t="n">
        <v>7</v>
      </c>
      <c r="G10" s="169" t="inlineStr">
        <is>
          <t>スタンダード</t>
        </is>
      </c>
      <c r="H10" s="170" t="n">
        <v>2</v>
      </c>
      <c r="I10" s="170" t="n">
        <v>3</v>
      </c>
      <c r="J10" s="170" t="n">
        <v>72000</v>
      </c>
    </row>
    <row r="11" ht="13.5" customHeight="1">
      <c r="D11" s="169" t="inlineStr">
        <is>
          <t>R004</t>
        </is>
      </c>
      <c r="E11" s="169" t="inlineStr">
        <is>
          <t>西伊豆</t>
        </is>
      </c>
      <c r="F11" s="186" t="n">
        <v>8</v>
      </c>
      <c r="G11" s="169" t="inlineStr">
        <is>
          <t>スイート</t>
        </is>
      </c>
      <c r="H11" s="170" t="n">
        <v>2</v>
      </c>
      <c r="I11" s="170" t="n">
        <v>2</v>
      </c>
      <c r="J11" s="170" t="n">
        <v>180000</v>
      </c>
    </row>
    <row r="12" ht="13.5" customHeight="1">
      <c r="D12" s="169" t="inlineStr">
        <is>
          <t>R005</t>
        </is>
      </c>
      <c r="E12" s="169" t="inlineStr">
        <is>
          <t>熱海</t>
        </is>
      </c>
      <c r="F12" s="186" t="n">
        <v>8</v>
      </c>
      <c r="G12" s="169" t="inlineStr">
        <is>
          <t>スイート</t>
        </is>
      </c>
      <c r="H12" s="170" t="n">
        <v>1</v>
      </c>
      <c r="I12" s="170" t="n">
        <v>2</v>
      </c>
      <c r="J12" s="170" t="n">
        <v>95000</v>
      </c>
    </row>
    <row r="13" ht="13.5" customHeight="1">
      <c r="D13" s="169" t="inlineStr">
        <is>
          <t>R006</t>
        </is>
      </c>
      <c r="E13" s="169" t="inlineStr">
        <is>
          <t>西伊豆</t>
        </is>
      </c>
      <c r="F13" s="186" t="n">
        <v>7</v>
      </c>
      <c r="G13" s="169" t="inlineStr">
        <is>
          <t>スタンダード</t>
        </is>
      </c>
      <c r="H13" s="170" t="n">
        <v>1</v>
      </c>
      <c r="I13" s="170" t="n">
        <v>2</v>
      </c>
      <c r="J13" s="170" t="n">
        <v>36000</v>
      </c>
    </row>
    <row r="14" ht="13.5" customHeight="1">
      <c r="D14" s="169" t="inlineStr">
        <is>
          <t>R007</t>
        </is>
      </c>
      <c r="E14" s="169" t="inlineStr">
        <is>
          <t>熱海</t>
        </is>
      </c>
      <c r="F14" s="186" t="n">
        <v>8</v>
      </c>
      <c r="G14" s="169" t="inlineStr">
        <is>
          <t>スタンダード</t>
        </is>
      </c>
      <c r="H14" s="170" t="n">
        <v>4</v>
      </c>
      <c r="I14" s="170" t="n">
        <v>6</v>
      </c>
      <c r="J14" s="170" t="n">
        <v>152000</v>
      </c>
    </row>
    <row r="15" ht="13.5" customHeight="1">
      <c r="D15" s="169" t="inlineStr">
        <is>
          <t>R008</t>
        </is>
      </c>
      <c r="E15" s="169" t="inlineStr">
        <is>
          <t>西伊豆</t>
        </is>
      </c>
      <c r="F15" s="186" t="n">
        <v>8</v>
      </c>
      <c r="G15" s="169" t="inlineStr">
        <is>
          <t>スタンダード</t>
        </is>
      </c>
      <c r="H15" s="170" t="n">
        <v>2</v>
      </c>
      <c r="I15" s="170" t="n">
        <v>3</v>
      </c>
      <c r="J15" s="170" t="n">
        <v>74000</v>
      </c>
    </row>
    <row r="16" ht="13.5" customHeight="1">
      <c r="D16" s="169" t="inlineStr">
        <is>
          <t>R009</t>
        </is>
      </c>
      <c r="E16" s="169" t="inlineStr">
        <is>
          <t>熱海</t>
        </is>
      </c>
      <c r="F16" s="186" t="n">
        <v>7</v>
      </c>
      <c r="G16" s="169" t="inlineStr">
        <is>
          <t>スイート</t>
        </is>
      </c>
      <c r="H16" s="170" t="n">
        <v>1</v>
      </c>
      <c r="I16" s="170" t="n">
        <v>2</v>
      </c>
      <c r="J16" s="170" t="n">
        <v>92000</v>
      </c>
    </row>
    <row r="17" ht="13.5" customHeight="1">
      <c r="D17" s="169" t="inlineStr">
        <is>
          <t>R010</t>
        </is>
      </c>
      <c r="E17" s="169" t="inlineStr">
        <is>
          <t>西伊豆</t>
        </is>
      </c>
      <c r="F17" s="186" t="n">
        <v>8</v>
      </c>
      <c r="G17" s="169" t="inlineStr">
        <is>
          <t>スイート</t>
        </is>
      </c>
      <c r="H17" s="170" t="n">
        <v>3</v>
      </c>
      <c r="I17" s="170" t="n">
        <v>5</v>
      </c>
      <c r="J17" s="170" t="n">
        <v>270000</v>
      </c>
    </row>
    <row r="21" ht="13.5" customHeight="1">
      <c r="C21" s="2" t="n"/>
      <c r="D21" s="16" t="inlineStr">
        <is>
          <t>② 集計：施設別×月別の売上（=SUMIFS）</t>
        </is>
      </c>
      <c r="E21" s="17" t="n"/>
      <c r="F21" s="17" t="n"/>
      <c r="G21" s="17" t="n"/>
      <c r="H21" s="17" t="n"/>
      <c r="I21" s="17" t="n"/>
      <c r="J21" s="17" t="n"/>
    </row>
    <row r="22" ht="13.5" customHeight="1">
      <c r="C22" s="2" t="n"/>
      <c r="D22" s="2" t="n"/>
    </row>
    <row r="23" ht="13.5" customHeight="1">
      <c r="D23" s="6" t="inlineStr">
        <is>
          <t>施設＼月</t>
        </is>
      </c>
      <c r="E23" s="6" t="n">
        <v>7</v>
      </c>
      <c r="F23" s="6" t="n">
        <v>8</v>
      </c>
      <c r="G23" s="6" t="inlineStr">
        <is>
          <t>合計</t>
        </is>
      </c>
    </row>
    <row r="24" ht="13.5" customHeight="1">
      <c r="D24" s="57" t="inlineStr">
        <is>
          <t>西伊豆</t>
        </is>
      </c>
      <c r="E24" s="61">
        <f>SUMIFS($J$8:$J$17,$E$8:$E$17,$D24,$F$8:$F$17,E$23)</f>
        <v/>
      </c>
      <c r="F24" s="59">
        <f>SUMIFS($J$8:$J$17,$E$8:$E$17,$D24,$F$8:$F$17,F$23)</f>
        <v/>
      </c>
      <c r="G24" s="61">
        <f>SUM(E24:F24)</f>
        <v/>
      </c>
    </row>
    <row r="25" ht="13.5" customHeight="1">
      <c r="D25" s="58" t="inlineStr">
        <is>
          <t>熱海</t>
        </is>
      </c>
      <c r="E25" s="62">
        <f>SUMIFS($J$8:$J$17,$E$8:$E$17,$D25,$F$8:$F$17,E$23)</f>
        <v/>
      </c>
      <c r="F25" s="60">
        <f>SUMIFS($J$8:$J$17,$E$8:$E$17,$D25,$F$8:$F$17,F$23)</f>
        <v/>
      </c>
      <c r="G25" s="62">
        <f>SUM(E25:F25)</f>
        <v/>
      </c>
    </row>
    <row r="26" ht="13.5" customHeight="1">
      <c r="D26" s="56" t="inlineStr">
        <is>
          <t>合計</t>
        </is>
      </c>
      <c r="E26" s="63">
        <f>SUM(E24:E25)</f>
        <v/>
      </c>
      <c r="F26" s="63">
        <f>SUM(F24:F25)</f>
        <v/>
      </c>
      <c r="G26" s="63">
        <f>SUM(G24:G25)</f>
        <v/>
      </c>
    </row>
    <row r="27">
      <c r="D27" s="3" t="inlineStr">
        <is>
          <t>例）D20 = =SUMIFS(売上, 施設, 西伊豆, 月, 7) 。元データを1行足すだけで自動更新。</t>
        </is>
      </c>
    </row>
    <row r="32" ht="13.5" customHeight="1">
      <c r="D32" s="16" t="inlineStr">
        <is>
          <t>③ 集計：客室タイプ別ADR（売上計÷泊数計）</t>
        </is>
      </c>
      <c r="E32" s="17" t="n"/>
      <c r="F32" s="17" t="n"/>
      <c r="G32" s="17" t="n"/>
      <c r="H32" s="17" t="n"/>
      <c r="I32" s="17" t="n"/>
      <c r="J32" s="17" t="n"/>
    </row>
    <row r="33" ht="13.5" customHeight="1">
      <c r="D33" s="2" t="n"/>
    </row>
    <row r="34" ht="13.5" customHeight="1">
      <c r="D34" s="6" t="inlineStr">
        <is>
          <t>客室タイプ</t>
        </is>
      </c>
      <c r="E34" s="6" t="inlineStr">
        <is>
          <t>売上計(円)</t>
        </is>
      </c>
      <c r="F34" s="6" t="inlineStr">
        <is>
          <t>泊数計(泊)</t>
        </is>
      </c>
      <c r="G34" s="6" t="inlineStr">
        <is>
          <t>ADR(円)</t>
        </is>
      </c>
    </row>
    <row r="35" ht="13.5" customHeight="1">
      <c r="D35" s="57" t="inlineStr">
        <is>
          <t>スイート</t>
        </is>
      </c>
      <c r="E35" s="61">
        <f>SUMIFS($J$8:$J$17,$G$8:$G$17,D35)</f>
        <v/>
      </c>
      <c r="F35" s="59">
        <f>SUMIFS($H$8:$H$17,$G$8:$G$17,D35)</f>
        <v/>
      </c>
      <c r="G35" s="61">
        <f>E35/F35</f>
        <v/>
      </c>
    </row>
    <row r="36" ht="13.5" customHeight="1">
      <c r="D36" s="58" t="inlineStr">
        <is>
          <t>スタンダード</t>
        </is>
      </c>
      <c r="E36" s="62">
        <f>SUMIFS($J$8:$J$17,$G$8:$G$17,D36)</f>
        <v/>
      </c>
      <c r="F36" s="60">
        <f>SUMIFS($H$8:$H$17,$G$8:$G$17,D36)</f>
        <v/>
      </c>
      <c r="G36" s="62">
        <f>E36/F36</f>
        <v/>
      </c>
    </row>
    <row r="37" ht="13.5" customHeight="1">
      <c r="D37" s="56" t="n"/>
      <c r="E37" s="63" t="n"/>
      <c r="F37" s="63" t="n"/>
      <c r="G37" s="63" t="n"/>
    </row>
    <row r="38">
      <c r="D38" s="3" t="inlineStr">
        <is>
          <t>ADR＝客室売上÷販売室数(泊数)。SUMIFSで分子・分母を集計して割るだけ。</t>
        </is>
      </c>
    </row>
    <row r="47" ht="13.5" customHeight="1">
      <c r="D47" s="56" t="n"/>
      <c r="E47" s="63" t="n"/>
      <c r="F47" s="63" t="n"/>
      <c r="G47" s="6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2026-07-21T03:46:56Z</dcterms:modified>
  <cp:lastModifiedBy>ARTH.inc</cp:lastModifiedBy>
</cp:coreProperties>
</file>