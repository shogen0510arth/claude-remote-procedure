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05" yWindow="-16320" windowWidth="29040" windowHeight="16440" tabRatio="600" firstSheet="0" activeTab="0" autoFilterDateGrouping="1"/>
  </bookViews>
  <sheets>
    <sheet name="4-3_常識チェック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</cellStyleXfs>
  <cellXfs count="190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13" fillId="0" borderId="4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13" fillId="0" borderId="5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13" fillId="0" borderId="6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4" applyAlignment="1" pivotButton="0" quotePrefix="0" xfId="0">
      <alignment horizontal="center" vertical="center"/>
    </xf>
    <xf numFmtId="0" fontId="13" fillId="0" borderId="5" applyAlignment="1" pivotButton="0" quotePrefix="0" xfId="0">
      <alignment horizontal="left" vertical="center"/>
    </xf>
    <xf numFmtId="0" fontId="13" fillId="0" borderId="5" applyAlignment="1" pivotButton="0" quotePrefix="0" xfId="0">
      <alignment horizontal="center" vertical="center"/>
    </xf>
    <xf numFmtId="0" fontId="13" fillId="0" borderId="6" applyAlignment="1" pivotButton="0" quotePrefix="0" xfId="0">
      <alignment horizontal="left" vertical="center"/>
    </xf>
    <xf numFmtId="0" fontId="13" fillId="0" borderId="6" applyAlignment="1" pivotButton="0" quotePrefix="0" xfId="0">
      <alignment horizontal="center" vertical="center"/>
    </xf>
    <xf numFmtId="3" fontId="13" fillId="0" borderId="7" applyAlignment="1" pivotButton="0" quotePrefix="0" xfId="0">
      <alignment horizontal="right" vertical="center"/>
    </xf>
    <xf numFmtId="3" fontId="13" fillId="0" borderId="8" applyAlignment="1" pivotButton="0" quotePrefix="0" xfId="0">
      <alignment horizontal="right" vertical="center"/>
    </xf>
    <xf numFmtId="3" fontId="13" fillId="0" borderId="9" applyAlignment="1" pivotButton="0" quotePrefix="0" xfId="0">
      <alignment horizontal="righ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0" fontId="0" fillId="0" borderId="0" pivotButton="0" quotePrefix="0" xfId="0"/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0" fontId="0" fillId="0" borderId="0" pivotButton="0" quotePrefix="0" xfId="0"/>
    <xf numFmtId="164" fontId="13" fillId="0" borderId="19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4" fontId="13" fillId="0" borderId="2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0" applyAlignment="1" pivotButton="0" quotePrefix="0" xfId="0">
      <alignment horizontal="center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0" fontId="6" fillId="0" borderId="2" applyAlignment="1" pivotButton="0" quotePrefix="0" xfId="0">
      <alignment horizontal="lef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</cellXfs>
  <cellStyles count="3">
    <cellStyle name="標準" xfId="0" builtinId="0"/>
    <cellStyle name="桁区切り" xfId="1" builtinId="6"/>
    <cellStyle name="標準 2" xfId="2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showGridLines="0" workbookViewId="0">
      <selection activeCell="F10" sqref="F10"/>
    </sheetView>
  </sheetViews>
  <sheetFormatPr baseColWidth="8" defaultRowHeight="13"/>
  <cols>
    <col width="2.36328125" customWidth="1" style="158" min="1" max="3"/>
    <col width="30" customWidth="1" style="158" min="4" max="4"/>
    <col width="14" customWidth="1" style="158" min="5" max="5"/>
    <col width="22" customWidth="1" style="158" min="6" max="6"/>
    <col width="10" customWidth="1" style="158" min="7" max="7"/>
    <col width="30" customWidth="1" style="158" min="8" max="8"/>
  </cols>
  <sheetData>
    <row r="2" ht="19.5" customHeight="1" s="158">
      <c r="B2" s="75" t="inlineStr">
        <is>
          <t>4-3. 常識との整合性を確認する</t>
        </is>
      </c>
    </row>
    <row r="3" ht="13.5" customHeight="1" s="158"/>
    <row r="4" ht="13.5" customHeight="1" s="158">
      <c r="D4" s="3" t="inlineStr">
        <is>
          <t>数式が正しくても前提が非常識なら結論は誤り。「桁」と「率」を常識レンジと突き合わせる。</t>
        </is>
      </c>
    </row>
    <row r="5" ht="13.5" customHeight="1" s="158">
      <c r="D5" s="77" t="inlineStr">
        <is>
          <t>常識レンジとの照合</t>
        </is>
      </c>
      <c r="E5" s="78" t="n"/>
      <c r="F5" s="78" t="n"/>
      <c r="G5" s="78" t="n"/>
      <c r="H5" s="78" t="n"/>
    </row>
    <row r="6" ht="13.5" customHeight="1" s="158"/>
    <row r="7" ht="13.5" customHeight="1" s="158">
      <c r="D7" s="168" t="inlineStr">
        <is>
          <t>指標</t>
        </is>
      </c>
      <c r="E7" s="168" t="inlineStr">
        <is>
          <t>値</t>
        </is>
      </c>
      <c r="F7" s="168" t="inlineStr">
        <is>
          <t>常識レンジ</t>
        </is>
      </c>
      <c r="G7" s="168" t="inlineStr">
        <is>
          <t>判定</t>
        </is>
      </c>
      <c r="H7" s="168" t="inlineStr">
        <is>
          <t>コメント</t>
        </is>
      </c>
    </row>
    <row r="8" ht="13.5" customHeight="1" s="158">
      <c r="D8" s="80" t="inlineStr">
        <is>
          <t>1日あたり販売室数（客室10室）</t>
        </is>
      </c>
      <c r="E8" s="81" t="n">
        <v>15</v>
      </c>
      <c r="F8" s="88" t="inlineStr">
        <is>
          <t>0〜10室</t>
        </is>
      </c>
      <c r="G8" s="102">
        <f>IF(E8&lt;=10,"OK","異常")</f>
        <v/>
      </c>
      <c r="H8" s="103" t="inlineStr">
        <is>
          <t>客室数を超えて販売している</t>
        </is>
      </c>
    </row>
    <row r="9" ht="13.5" customHeight="1" s="158">
      <c r="D9" s="83" t="inlineStr">
        <is>
          <t>料理原価率</t>
        </is>
      </c>
      <c r="E9" s="189" t="n">
        <v>0.05</v>
      </c>
      <c r="F9" s="90" t="inlineStr">
        <is>
          <t>20%〜40%</t>
        </is>
      </c>
      <c r="G9" s="104">
        <f>IF(AND(E9&gt;=0.2,E9&lt;=0.4),"OK","異常")</f>
        <v/>
      </c>
      <c r="H9" s="105" t="inlineStr">
        <is>
          <t>5%は低すぎ（仕入計上漏れの疑い）</t>
        </is>
      </c>
    </row>
    <row r="10" ht="13.5" customHeight="1" s="158">
      <c r="D10" s="85" t="inlineStr">
        <is>
          <t>正社員1人あたり人件費（月）</t>
        </is>
      </c>
      <c r="E10" s="86" t="n">
        <v>50000</v>
      </c>
      <c r="F10" s="94" t="inlineStr">
        <is>
          <t>25〜40万円/月</t>
        </is>
      </c>
      <c r="G10" s="106">
        <f>IF(AND(E10&gt;=250000,E10&lt;=400000),"OK","異常")</f>
        <v/>
      </c>
      <c r="H10" s="107" t="inlineStr">
        <is>
          <t>月5万円は非現実的（年額混同の疑い）</t>
        </is>
      </c>
    </row>
    <row r="11" ht="13.5" customHeight="1" s="158"/>
    <row r="12" ht="13.5" customHeight="1" s="158">
      <c r="D12" s="76" t="inlineStr">
        <is>
          <t>すべて意図的に「異常」になる例です。IF＋AND で常識レンジ内かを自動判定できます。</t>
        </is>
      </c>
    </row>
    <row r="13" ht="13.5" customHeight="1" s="158"/>
  </sheetData>
  <conditionalFormatting sqref="G8:G10">
    <cfRule type="cellIs" priority="1" operator="equal" dxfId="1">
      <formula>"OK"</formula>
    </cfRule>
    <cfRule type="cellIs" priority="2" operator="equal" dxfId="0">
      <formula>"異常"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2026-07-21T02:30:59Z</dcterms:modified>
  <cp:lastModifiedBy>ARTH.inc</cp:lastModifiedBy>
</cp:coreProperties>
</file>