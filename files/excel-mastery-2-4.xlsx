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05" yWindow="-16320" windowWidth="29040" windowHeight="16440" tabRatio="600" firstSheet="0" activeTab="0" autoFilterDateGrouping="1"/>
  </bookViews>
  <sheets>
    <sheet name="2-4_PL①Input" sheetId="1" state="visible" r:id="rId1"/>
    <sheet name="2-4_PL②計算" sheetId="2" state="visible" r:id="rId2"/>
    <sheet name="2-4_PL③Outpu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"/>
    <numFmt numFmtId="165" formatCode="0.0%"/>
    <numFmt numFmtId="166" formatCode="0.0"/>
    <numFmt numFmtId="167" formatCode="#,##0%;[Red]\-#,##0%"/>
    <numFmt numFmtId="168" formatCode="#,##0.00000"/>
    <numFmt numFmtId="169" formatCode="#,##0.0%;[Red]\-#,##0.0%"/>
    <numFmt numFmtId="170" formatCode="0.000"/>
  </numFmts>
  <fonts count="29">
    <font>
      <name val="ＭＳ Ｐゴシック"/>
      <family val="2"/>
      <color theme="1"/>
      <sz val="11"/>
      <scheme val="minor"/>
    </font>
    <font>
      <name val="Meiryo UI"/>
      <charset val="128"/>
      <family val="2"/>
      <color theme="1"/>
      <sz val="11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666666"/>
      <sz val="9"/>
    </font>
    <font>
      <name val="Meiryo UI"/>
      <charset val="128"/>
      <family val="3"/>
      <b val="1"/>
      <color rgb="FF1F3A4D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FF0000"/>
      <sz val="9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0000FF"/>
      <sz val="10"/>
    </font>
    <font>
      <name val="ＭＳ Ｐゴシック"/>
      <family val="2"/>
      <color theme="1"/>
      <sz val="11"/>
      <scheme val="minor"/>
    </font>
    <font>
      <name val="ＭＳ Ｐゴシック"/>
      <charset val="128"/>
      <family val="3"/>
      <sz val="6"/>
      <scheme val="minor"/>
    </font>
    <font>
      <name val="Meiryo UI"/>
      <charset val="128"/>
      <family val="3"/>
      <b val="1"/>
      <color indexed="8"/>
      <sz val="10"/>
    </font>
    <font>
      <name val="Meiryo UI"/>
      <charset val="128"/>
      <family val="3"/>
      <color indexed="8"/>
      <sz val="10"/>
    </font>
    <font>
      <name val="ＭＳ Ｐゴシック"/>
      <family val="2"/>
      <color rgb="FFFFFFFF"/>
      <sz val="11"/>
      <scheme val="minor"/>
    </font>
    <font>
      <name val="ＭＳ Ｐゴシック"/>
      <family val="2"/>
      <color indexed="8"/>
      <sz val="11"/>
      <scheme val="minor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002060"/>
      <sz val="14"/>
    </font>
    <font>
      <name val="Meiryo UI"/>
      <charset val="128"/>
      <family val="3"/>
      <color rgb="FF808080"/>
      <sz val="9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color rgb="FFFFFFFF"/>
      <sz val="10"/>
    </font>
    <font>
      <name val="Meiryo UI"/>
      <charset val="128"/>
      <family val="3"/>
      <color rgb="FF000000"/>
      <sz val="10"/>
    </font>
    <font>
      <name val="Meiryo UI"/>
      <charset val="128"/>
      <family val="3"/>
      <color rgb="FF0000FF"/>
      <sz val="10"/>
    </font>
    <font>
      <name val="Meiryo UI"/>
      <charset val="128"/>
      <family val="3"/>
      <color rgb="FF008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FF0000"/>
      <sz val="10"/>
    </font>
    <font>
      <name val="Meiryo UI"/>
      <charset val="128"/>
      <family val="3"/>
      <color rgb="FFFF0000"/>
      <sz val="10"/>
    </font>
    <font>
      <name val="Meiryo UI"/>
      <charset val="128"/>
      <family val="3"/>
      <i val="1"/>
      <color rgb="FF808080"/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CCFFFF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1F3F51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theme="0" tint="-0.1499679555650502"/>
      </left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3">
    <xf numFmtId="0" fontId="10" fillId="0" borderId="0"/>
    <xf numFmtId="38" fontId="10" fillId="0" borderId="0" applyAlignment="1">
      <alignment vertical="center"/>
    </xf>
    <xf numFmtId="0" fontId="1" fillId="0" borderId="0" applyAlignment="1">
      <alignment vertical="center"/>
    </xf>
  </cellStyleXfs>
  <cellXfs count="202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6" fillId="0" borderId="5" applyAlignment="1" pivotButton="0" quotePrefix="0" xfId="0">
      <alignment horizontal="left" vertical="center"/>
    </xf>
    <xf numFmtId="0" fontId="6" fillId="0" borderId="6" applyAlignment="1" pivotButton="0" quotePrefix="0" xfId="0">
      <alignment horizontal="left" vertical="center"/>
    </xf>
    <xf numFmtId="3" fontId="6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9" applyAlignment="1" pivotButton="0" quotePrefix="0" xfId="0">
      <alignment horizontal="right" vertical="center"/>
    </xf>
    <xf numFmtId="0" fontId="5" fillId="6" borderId="0" applyAlignment="1" pivotButton="0" quotePrefix="0" xfId="0">
      <alignment horizontal="left" vertical="center"/>
    </xf>
    <xf numFmtId="0" fontId="14" fillId="6" borderId="0" pivotButton="0" quotePrefix="0" xfId="0"/>
    <xf numFmtId="0" fontId="8" fillId="4" borderId="1" applyAlignment="1" pivotButton="0" quotePrefix="0" xfId="0">
      <alignment vertical="center"/>
    </xf>
    <xf numFmtId="0" fontId="13" fillId="0" borderId="1" applyAlignment="1" pivotButton="0" quotePrefix="0" xfId="0">
      <alignment vertical="center"/>
    </xf>
    <xf numFmtId="10" fontId="13" fillId="0" borderId="1" applyAlignment="1" pivotButton="0" quotePrefix="0" xfId="0">
      <alignment vertical="center"/>
    </xf>
    <xf numFmtId="164" fontId="13" fillId="0" borderId="1" applyAlignment="1" pivotButton="0" quotePrefix="0" xfId="0">
      <alignment vertical="center"/>
    </xf>
    <xf numFmtId="3" fontId="13" fillId="0" borderId="1" applyAlignment="1" pivotButton="0" quotePrefix="0" xfId="0">
      <alignment vertical="center"/>
    </xf>
    <xf numFmtId="2" fontId="13" fillId="0" borderId="1" applyAlignment="1" pivotButton="0" quotePrefix="0" xfId="0">
      <alignment horizontal="right" vertical="center"/>
    </xf>
    <xf numFmtId="0" fontId="6" fillId="5" borderId="0" applyAlignment="1" pivotButton="0" quotePrefix="0" xfId="0">
      <alignment horizontal="left" vertical="center"/>
    </xf>
    <xf numFmtId="3" fontId="6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/>
    </xf>
    <xf numFmtId="0" fontId="6" fillId="0" borderId="11" applyAlignment="1" pivotButton="0" quotePrefix="0" xfId="0">
      <alignment horizontal="left" vertical="center"/>
    </xf>
    <xf numFmtId="0" fontId="6" fillId="0" borderId="12" applyAlignment="1" pivotButton="0" quotePrefix="0" xfId="0">
      <alignment horizontal="left" vertical="center"/>
    </xf>
    <xf numFmtId="0" fontId="6" fillId="0" borderId="13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Continuous" vertical="center"/>
    </xf>
    <xf numFmtId="0" fontId="15" fillId="0" borderId="0" pivotButton="0" quotePrefix="0" xfId="0"/>
    <xf numFmtId="0" fontId="6" fillId="5" borderId="4" applyAlignment="1" pivotButton="0" quotePrefix="0" xfId="0">
      <alignment horizontal="left" vertical="center"/>
    </xf>
    <xf numFmtId="3" fontId="6" fillId="5" borderId="7" applyAlignment="1" pivotButton="0" quotePrefix="0" xfId="0">
      <alignment horizontal="right" vertical="center"/>
    </xf>
    <xf numFmtId="0" fontId="6" fillId="5" borderId="5" applyAlignment="1" pivotButton="0" quotePrefix="0" xfId="0">
      <alignment horizontal="left" vertical="center"/>
    </xf>
    <xf numFmtId="3" fontId="6" fillId="5" borderId="8" applyAlignment="1" pivotButton="0" quotePrefix="0" xfId="0">
      <alignment horizontal="right" vertical="center"/>
    </xf>
    <xf numFmtId="0" fontId="6" fillId="5" borderId="6" applyAlignment="1" pivotButton="0" quotePrefix="0" xfId="0">
      <alignment horizontal="left" vertical="center"/>
    </xf>
    <xf numFmtId="3" fontId="6" fillId="5" borderId="9" applyAlignment="1" pivotButton="0" quotePrefix="0" xfId="0">
      <alignment horizontal="right" vertical="center"/>
    </xf>
    <xf numFmtId="0" fontId="13" fillId="5" borderId="0" applyAlignment="1" pivotButton="0" quotePrefix="0" xfId="0">
      <alignment horizontal="center" vertical="center"/>
    </xf>
    <xf numFmtId="0" fontId="12" fillId="0" borderId="1" applyAlignment="1" pivotButton="0" quotePrefix="0" xfId="0">
      <alignment vertical="center"/>
    </xf>
    <xf numFmtId="3" fontId="9" fillId="0" borderId="7" applyAlignment="1" pivotButton="0" quotePrefix="0" xfId="0">
      <alignment horizontal="right" vertical="center"/>
    </xf>
    <xf numFmtId="3" fontId="9" fillId="0" borderId="4" applyAlignment="1" pivotButton="0" quotePrefix="0" xfId="0">
      <alignment horizontal="right" vertical="center"/>
    </xf>
    <xf numFmtId="3" fontId="9" fillId="0" borderId="8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3" fontId="9" fillId="0" borderId="9" applyAlignment="1" pivotButton="0" quotePrefix="0" xfId="0">
      <alignment horizontal="right" vertical="center"/>
    </xf>
    <xf numFmtId="3" fontId="9" fillId="0" borderId="6" applyAlignment="1" pivotButton="0" quotePrefix="0" xfId="0">
      <alignment horizontal="right" vertical="center"/>
    </xf>
    <xf numFmtId="165" fontId="9" fillId="0" borderId="7" applyAlignment="1" pivotButton="0" quotePrefix="0" xfId="0">
      <alignment horizontal="right" vertical="center"/>
    </xf>
    <xf numFmtId="165" fontId="9" fillId="0" borderId="8" applyAlignment="1" pivotButton="0" quotePrefix="0" xfId="0">
      <alignment horizontal="right" vertical="center"/>
    </xf>
    <xf numFmtId="165" fontId="9" fillId="0" borderId="9" applyAlignment="1" pivotButton="0" quotePrefix="0" xfId="0">
      <alignment horizontal="right" vertical="center"/>
    </xf>
    <xf numFmtId="3" fontId="13" fillId="0" borderId="4" applyAlignment="1" pivotButton="0" quotePrefix="0" xfId="0">
      <alignment horizontal="right" vertical="center"/>
    </xf>
    <xf numFmtId="3" fontId="6" fillId="5" borderId="4" applyAlignment="1" pivotButton="0" quotePrefix="0" xfId="0">
      <alignment horizontal="right" vertical="center"/>
    </xf>
    <xf numFmtId="3" fontId="13" fillId="0" borderId="5" applyAlignment="1" pivotButton="0" quotePrefix="0" xfId="0">
      <alignment horizontal="right" vertical="center"/>
    </xf>
    <xf numFmtId="3" fontId="6" fillId="5" borderId="5" applyAlignment="1" pivotButton="0" quotePrefix="0" xfId="0">
      <alignment horizontal="right" vertical="center"/>
    </xf>
    <xf numFmtId="3" fontId="13" fillId="0" borderId="6" applyAlignment="1" pivotButton="0" quotePrefix="0" xfId="0">
      <alignment horizontal="right" vertical="center"/>
    </xf>
    <xf numFmtId="3" fontId="6" fillId="5" borderId="6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13" fillId="0" borderId="4" applyAlignment="1" pivotButton="0" quotePrefix="0" xfId="0">
      <alignment horizontal="center" vertical="center"/>
    </xf>
    <xf numFmtId="0" fontId="13" fillId="0" borderId="5" applyAlignment="1" pivotButton="0" quotePrefix="0" xfId="0">
      <alignment horizontal="left" vertical="center"/>
    </xf>
    <xf numFmtId="0" fontId="13" fillId="0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left" vertical="center"/>
    </xf>
    <xf numFmtId="0" fontId="13" fillId="0" borderId="6" applyAlignment="1" pivotButton="0" quotePrefix="0" xfId="0">
      <alignment horizontal="center" vertical="center"/>
    </xf>
    <xf numFmtId="3" fontId="13" fillId="0" borderId="7" applyAlignment="1" pivotButton="0" quotePrefix="0" xfId="0">
      <alignment horizontal="right" vertical="center"/>
    </xf>
    <xf numFmtId="3" fontId="13" fillId="0" borderId="8" applyAlignment="1" pivotButton="0" quotePrefix="0" xfId="0">
      <alignment horizontal="right" vertical="center"/>
    </xf>
    <xf numFmtId="3" fontId="13" fillId="0" borderId="9" applyAlignment="1" pivotButton="0" quotePrefix="0" xfId="0">
      <alignment horizontal="right" vertical="center"/>
    </xf>
    <xf numFmtId="38" fontId="13" fillId="0" borderId="4" applyAlignment="1" pivotButton="0" quotePrefix="0" xfId="1">
      <alignment vertical="center"/>
    </xf>
    <xf numFmtId="38" fontId="13" fillId="0" borderId="6" applyAlignment="1" pivotButton="0" quotePrefix="0" xfId="1">
      <alignment vertical="center"/>
    </xf>
    <xf numFmtId="38" fontId="13" fillId="0" borderId="7" applyAlignment="1" pivotButton="0" quotePrefix="0" xfId="1">
      <alignment vertical="center"/>
    </xf>
    <xf numFmtId="38" fontId="13" fillId="0" borderId="9" applyAlignment="1" pivotButton="0" quotePrefix="0" xfId="1">
      <alignment vertical="center"/>
    </xf>
    <xf numFmtId="38" fontId="13" fillId="0" borderId="2" applyAlignment="1" pivotButton="0" quotePrefix="0" xfId="1">
      <alignment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14" applyAlignment="1" pivotButton="0" quotePrefix="0" xfId="0">
      <alignment horizontal="left" vertical="center"/>
    </xf>
    <xf numFmtId="3" fontId="22" fillId="0" borderId="14" applyAlignment="1" pivotButton="0" quotePrefix="0" xfId="0">
      <alignment horizontal="right" vertical="center"/>
    </xf>
    <xf numFmtId="0" fontId="22" fillId="0" borderId="17" applyAlignment="1" pivotButton="0" quotePrefix="0" xfId="0">
      <alignment horizontal="left" vertical="center"/>
    </xf>
    <xf numFmtId="0" fontId="22" fillId="0" borderId="15" applyAlignment="1" pivotButton="0" quotePrefix="0" xfId="0">
      <alignment horizontal="left" vertical="center"/>
    </xf>
    <xf numFmtId="3" fontId="22" fillId="0" borderId="15" applyAlignment="1" pivotButton="0" quotePrefix="0" xfId="0">
      <alignment horizontal="right" vertical="center"/>
    </xf>
    <xf numFmtId="0" fontId="22" fillId="0" borderId="16" applyAlignment="1" pivotButton="0" quotePrefix="0" xfId="0">
      <alignment horizontal="left" vertical="center"/>
    </xf>
    <xf numFmtId="3" fontId="22" fillId="0" borderId="16" applyAlignment="1" pivotButton="0" quotePrefix="0" xfId="0">
      <alignment horizontal="right" vertical="center"/>
    </xf>
    <xf numFmtId="3" fontId="23" fillId="3" borderId="14" applyAlignment="1" pivotButton="0" quotePrefix="0" xfId="0">
      <alignment horizontal="right" vertical="center"/>
    </xf>
    <xf numFmtId="0" fontId="22" fillId="0" borderId="14" applyAlignment="1" pivotButton="0" quotePrefix="0" xfId="0">
      <alignment horizontal="center" vertical="center"/>
    </xf>
    <xf numFmtId="3" fontId="23" fillId="3" borderId="15" applyAlignment="1" pivotButton="0" quotePrefix="0" xfId="0">
      <alignment horizontal="right" vertical="center"/>
    </xf>
    <xf numFmtId="0" fontId="22" fillId="0" borderId="15" applyAlignment="1" pivotButton="0" quotePrefix="0" xfId="0">
      <alignment horizontal="center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3" fontId="23" fillId="3" borderId="16" applyAlignment="1" pivotButton="0" quotePrefix="0" xfId="0">
      <alignment horizontal="right" vertical="center"/>
    </xf>
    <xf numFmtId="0" fontId="22" fillId="0" borderId="16" applyAlignment="1" pivotButton="0" quotePrefix="0" xfId="0">
      <alignment horizontal="center" vertical="center"/>
    </xf>
    <xf numFmtId="165" fontId="23" fillId="3" borderId="14" applyAlignment="1" pivotButton="0" quotePrefix="0" xfId="0">
      <alignment horizontal="right" vertical="center"/>
    </xf>
    <xf numFmtId="3" fontId="24" fillId="0" borderId="14" applyAlignment="1" pivotButton="0" quotePrefix="0" xfId="0">
      <alignment horizontal="right" vertical="center"/>
    </xf>
    <xf numFmtId="165" fontId="22" fillId="0" borderId="15" applyAlignment="1" pivotButton="0" quotePrefix="0" xfId="0">
      <alignment horizontal="right" vertical="center"/>
    </xf>
    <xf numFmtId="0" fontId="25" fillId="0" borderId="14" applyAlignment="1" pivotButton="0" quotePrefix="0" xfId="0">
      <alignment horizontal="center" vertical="center"/>
    </xf>
    <xf numFmtId="0" fontId="25" fillId="0" borderId="15" applyAlignment="1" pivotButton="0" quotePrefix="0" xfId="0">
      <alignment horizontal="center" vertical="center"/>
    </xf>
    <xf numFmtId="0" fontId="25" fillId="0" borderId="16" applyAlignment="1" pivotButton="0" quotePrefix="0" xfId="0">
      <alignment horizontal="center" vertical="center"/>
    </xf>
    <xf numFmtId="1" fontId="22" fillId="0" borderId="15" applyAlignment="1" pivotButton="0" quotePrefix="0" xfId="0">
      <alignment horizontal="right" vertical="center"/>
    </xf>
    <xf numFmtId="0" fontId="26" fillId="0" borderId="14" applyAlignment="1" pivotButton="0" quotePrefix="0" xfId="0">
      <alignment horizontal="center" vertical="center"/>
    </xf>
    <xf numFmtId="0" fontId="27" fillId="0" borderId="14" applyAlignment="1" pivotButton="0" quotePrefix="0" xfId="0">
      <alignment horizontal="left" vertical="center"/>
    </xf>
    <xf numFmtId="0" fontId="26" fillId="0" borderId="15" applyAlignment="1" pivotButton="0" quotePrefix="0" xfId="0">
      <alignment horizontal="center" vertical="center"/>
    </xf>
    <xf numFmtId="0" fontId="27" fillId="0" borderId="15" applyAlignment="1" pivotButton="0" quotePrefix="0" xfId="0">
      <alignment horizontal="left" vertical="center"/>
    </xf>
    <xf numFmtId="0" fontId="26" fillId="0" borderId="16" applyAlignment="1" pivotButton="0" quotePrefix="0" xfId="0">
      <alignment horizontal="center" vertical="center"/>
    </xf>
    <xf numFmtId="0" fontId="27" fillId="0" borderId="16" applyAlignment="1" pivotButton="0" quotePrefix="0" xfId="0">
      <alignment horizontal="left" vertical="center"/>
    </xf>
    <xf numFmtId="0" fontId="12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10" pivotButton="0" quotePrefix="0" xfId="0"/>
    <xf numFmtId="0" fontId="5" fillId="2" borderId="0" applyAlignment="1" pivotButton="0" quotePrefix="0" xfId="0">
      <alignment horizontal="left" vertical="center"/>
    </xf>
    <xf numFmtId="0" fontId="6" fillId="0" borderId="17" applyAlignment="1" pivotButton="0" quotePrefix="1" xfId="0">
      <alignment horizontal="left" vertical="center"/>
    </xf>
    <xf numFmtId="0" fontId="6" fillId="0" borderId="15" applyAlignment="1" pivotButton="0" quotePrefix="0" xfId="0">
      <alignment horizontal="left" vertical="center"/>
    </xf>
    <xf numFmtId="3" fontId="16" fillId="0" borderId="14" applyAlignment="1" pivotButton="0" quotePrefix="0" xfId="0">
      <alignment horizontal="right" vertical="center"/>
    </xf>
    <xf numFmtId="0" fontId="13" fillId="0" borderId="14" applyAlignment="1" pivotButton="0" quotePrefix="0" xfId="0">
      <alignment horizontal="left" vertical="center"/>
    </xf>
    <xf numFmtId="0" fontId="6" fillId="0" borderId="14" applyAlignment="1" pivotButton="0" quotePrefix="0" xfId="0">
      <alignment horizontal="left" vertical="center"/>
    </xf>
    <xf numFmtId="167" fontId="16" fillId="0" borderId="0" applyAlignment="1" pivotButton="0" quotePrefix="0" xfId="0">
      <alignment horizontal="right" vertical="center"/>
    </xf>
    <xf numFmtId="0" fontId="13" fillId="0" borderId="15" applyAlignment="1" pivotButton="0" quotePrefix="0" xfId="0">
      <alignment horizontal="left" vertical="center"/>
    </xf>
    <xf numFmtId="3" fontId="16" fillId="0" borderId="15" applyAlignment="1" pivotButton="0" quotePrefix="0" xfId="0">
      <alignment horizontal="right" vertical="center"/>
    </xf>
    <xf numFmtId="0" fontId="13" fillId="0" borderId="20" applyAlignment="1" pivotButton="0" quotePrefix="0" xfId="0">
      <alignment horizontal="left" vertical="center"/>
    </xf>
    <xf numFmtId="167" fontId="16" fillId="0" borderId="2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3" fontId="24" fillId="0" borderId="2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right" vertical="center"/>
    </xf>
    <xf numFmtId="0" fontId="22" fillId="0" borderId="18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17" applyAlignment="1" pivotButton="0" quotePrefix="0" xfId="0">
      <alignment horizontal="left" vertical="center"/>
    </xf>
    <xf numFmtId="3" fontId="24" fillId="0" borderId="17" applyAlignment="1" pivotButton="0" quotePrefix="0" xfId="0">
      <alignment horizontal="right" vertical="center"/>
    </xf>
    <xf numFmtId="0" fontId="6" fillId="0" borderId="16" applyAlignment="1" pivotButton="0" quotePrefix="0" xfId="0">
      <alignment horizontal="left" vertical="center"/>
    </xf>
    <xf numFmtId="3" fontId="24" fillId="0" borderId="16" applyAlignment="1" pivotButton="0" quotePrefix="0" xfId="0">
      <alignment horizontal="right" vertical="center"/>
    </xf>
    <xf numFmtId="0" fontId="0" fillId="0" borderId="0" pivotButton="0" quotePrefix="0" xfId="0"/>
    <xf numFmtId="3" fontId="6" fillId="0" borderId="2" applyAlignment="1" pivotButton="0" quotePrefix="0" xfId="0">
      <alignment horizontal="right" vertical="center"/>
    </xf>
    <xf numFmtId="3" fontId="13" fillId="0" borderId="0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0" fontId="22" fillId="0" borderId="20" applyAlignment="1" pivotButton="0" quotePrefix="0" xfId="0">
      <alignment horizontal="left" vertical="center"/>
    </xf>
    <xf numFmtId="3" fontId="22" fillId="0" borderId="0" applyAlignment="1" pivotButton="0" quotePrefix="0" xfId="0">
      <alignment horizontal="right" vertical="center"/>
    </xf>
    <xf numFmtId="3" fontId="13" fillId="0" borderId="18" applyAlignment="1" pivotButton="0" quotePrefix="0" xfId="0">
      <alignment horizontal="right" vertical="center"/>
    </xf>
    <xf numFmtId="3" fontId="16" fillId="0" borderId="16" applyAlignment="1" pivotButton="0" quotePrefix="0" xfId="0">
      <alignment horizontal="right" vertical="center"/>
    </xf>
    <xf numFmtId="0" fontId="17" fillId="4" borderId="2" applyAlignment="1" pivotButton="0" quotePrefix="0" xfId="0">
      <alignment horizontal="left" vertical="center"/>
    </xf>
    <xf numFmtId="3" fontId="25" fillId="4" borderId="2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17" fillId="4" borderId="18" applyAlignment="1" pivotButton="0" quotePrefix="0" xfId="0">
      <alignment horizontal="left" vertical="center"/>
    </xf>
    <xf numFmtId="3" fontId="17" fillId="4" borderId="18" applyAlignment="1" pivotButton="0" quotePrefix="0" xfId="0">
      <alignment horizontal="right" vertical="center"/>
    </xf>
    <xf numFmtId="0" fontId="22" fillId="4" borderId="18" applyAlignment="1" pivotButton="0" quotePrefix="0" xfId="0">
      <alignment horizontal="left" vertical="center"/>
    </xf>
    <xf numFmtId="3" fontId="17" fillId="4" borderId="2" applyAlignment="1" pivotButton="0" quotePrefix="0" xfId="0">
      <alignment horizontal="right" vertical="center"/>
    </xf>
    <xf numFmtId="0" fontId="22" fillId="4" borderId="2" applyAlignment="1" pivotButton="0" quotePrefix="0" xfId="0">
      <alignment horizontal="left" vertical="center"/>
    </xf>
    <xf numFmtId="0" fontId="17" fillId="4" borderId="0" applyAlignment="1" pivotButton="0" quotePrefix="0" xfId="0">
      <alignment horizontal="left" vertical="center"/>
    </xf>
    <xf numFmtId="3" fontId="12" fillId="4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0" fontId="0" fillId="0" borderId="0" pivotButton="0" quotePrefix="0" xfId="0"/>
    <xf numFmtId="164" fontId="13" fillId="0" borderId="19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  <xf numFmtId="0" fontId="22" fillId="0" borderId="0" applyAlignment="1" pivotButton="0" quotePrefix="0" xfId="0">
      <alignment vertical="center"/>
    </xf>
    <xf numFmtId="168" fontId="28" fillId="0" borderId="14" applyAlignment="1" pivotButton="0" quotePrefix="0" xfId="0">
      <alignment horizontal="right" vertical="center"/>
    </xf>
    <xf numFmtId="168" fontId="28" fillId="0" borderId="15" applyAlignment="1" pivotButton="0" quotePrefix="0" xfId="0">
      <alignment horizontal="right" vertical="center"/>
    </xf>
    <xf numFmtId="0" fontId="22" fillId="0" borderId="0" applyAlignment="1" pivotButton="0" quotePrefix="0" xfId="0">
      <alignment horizontal="center" vertical="center"/>
    </xf>
    <xf numFmtId="0" fontId="22" fillId="0" borderId="21" applyAlignment="1" pivotButton="0" quotePrefix="0" xfId="0">
      <alignment vertical="center"/>
    </xf>
    <xf numFmtId="3" fontId="22" fillId="0" borderId="20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165" fontId="13" fillId="0" borderId="14" applyAlignment="1" pivotButton="0" quotePrefix="0" xfId="0">
      <alignment horizontal="right" vertical="center"/>
    </xf>
    <xf numFmtId="165" fontId="13" fillId="0" borderId="16" applyAlignment="1" pivotButton="0" quotePrefix="0" xfId="0">
      <alignment horizontal="right" vertical="center"/>
    </xf>
    <xf numFmtId="169" fontId="13" fillId="0" borderId="14" applyAlignment="1" pivotButton="0" quotePrefix="0" xfId="0">
      <alignment horizontal="right" vertical="center"/>
    </xf>
    <xf numFmtId="169" fontId="13" fillId="0" borderId="20" applyAlignment="1" pivotButton="0" quotePrefix="0" xfId="0">
      <alignment horizontal="right" vertical="center"/>
    </xf>
    <xf numFmtId="169" fontId="13" fillId="0" borderId="2" applyAlignment="1" pivotButton="0" quotePrefix="0" xfId="0">
      <alignment horizontal="right" vertical="center"/>
    </xf>
    <xf numFmtId="1" fontId="9" fillId="0" borderId="14" applyAlignment="1" pivotButton="0" quotePrefix="0" xfId="0">
      <alignment horizontal="right" vertical="center"/>
    </xf>
    <xf numFmtId="165" fontId="9" fillId="0" borderId="16" applyAlignment="1" pivotButton="0" quotePrefix="0" xfId="0">
      <alignment horizontal="right" vertical="center"/>
    </xf>
    <xf numFmtId="1" fontId="16" fillId="0" borderId="14" applyAlignment="1" pivotButton="0" quotePrefix="0" xfId="0">
      <alignment horizontal="right" vertical="center"/>
    </xf>
    <xf numFmtId="165" fontId="16" fillId="0" borderId="16" applyAlignment="1" pivotButton="0" quotePrefix="0" xfId="0">
      <alignment horizontal="right" vertical="center"/>
    </xf>
    <xf numFmtId="170" fontId="28" fillId="0" borderId="14" applyAlignment="1" pivotButton="0" quotePrefix="0" xfId="0">
      <alignment horizontal="right" vertical="center"/>
    </xf>
    <xf numFmtId="170" fontId="28" fillId="0" borderId="15" applyAlignment="1" pivotButton="0" quotePrefix="0" xfId="0">
      <alignment horizontal="right" vertical="center"/>
    </xf>
    <xf numFmtId="170" fontId="28" fillId="0" borderId="16" applyAlignment="1" pivotButton="0" quotePrefix="0" xfId="0">
      <alignment horizontal="right" vertical="center"/>
    </xf>
    <xf numFmtId="0" fontId="9" fillId="5" borderId="1" applyAlignment="1" pivotButton="0" quotePrefix="0" xfId="0">
      <alignment horizontal="left" vertical="center"/>
    </xf>
    <xf numFmtId="3" fontId="9" fillId="5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165" fontId="23" fillId="3" borderId="1" applyAlignment="1" pivotButton="0" quotePrefix="0" xfId="0">
      <alignment horizontal="right" vertical="center"/>
    </xf>
    <xf numFmtId="3" fontId="23" fillId="3" borderId="1" applyAlignment="1" pivotButton="0" quotePrefix="0" xfId="0">
      <alignment horizontal="right" vertical="center"/>
    </xf>
    <xf numFmtId="165" fontId="23" fillId="3" borderId="15" applyAlignment="1" pivotButton="0" quotePrefix="0" xfId="0">
      <alignment horizontal="right" vertical="center"/>
    </xf>
    <xf numFmtId="166" fontId="23" fillId="3" borderId="15" applyAlignment="1" pivotButton="0" quotePrefix="0" xfId="0">
      <alignment horizontal="right" vertical="center"/>
    </xf>
    <xf numFmtId="165" fontId="23" fillId="3" borderId="14" applyAlignment="1" pivotButton="0" quotePrefix="0" xfId="0">
      <alignment horizontal="right" vertical="center"/>
    </xf>
    <xf numFmtId="167" fontId="16" fillId="0" borderId="20" applyAlignment="1" pivotButton="0" quotePrefix="0" xfId="0">
      <alignment horizontal="right" vertical="center"/>
    </xf>
    <xf numFmtId="164" fontId="24" fillId="0" borderId="14" applyAlignment="1" pivotButton="0" quotePrefix="0" xfId="0">
      <alignment horizontal="right" vertical="center"/>
    </xf>
    <xf numFmtId="167" fontId="16" fillId="0" borderId="0" applyAlignment="1" pivotButton="0" quotePrefix="0" xfId="0">
      <alignment horizontal="right" vertical="center"/>
    </xf>
    <xf numFmtId="164" fontId="13" fillId="0" borderId="2" applyAlignment="1" pivotButton="0" quotePrefix="0" xfId="0">
      <alignment horizontal="right" vertical="center"/>
    </xf>
    <xf numFmtId="165" fontId="22" fillId="0" borderId="2" applyAlignment="1" pivotButton="0" quotePrefix="0" xfId="0">
      <alignment horizontal="right" vertical="center"/>
    </xf>
    <xf numFmtId="164" fontId="13" fillId="0" borderId="19" applyAlignment="1" pivotButton="0" quotePrefix="0" xfId="0">
      <alignment horizontal="right" vertical="center"/>
    </xf>
    <xf numFmtId="165" fontId="22" fillId="0" borderId="19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4" fontId="12" fillId="4" borderId="2" applyAlignment="1" pivotButton="0" quotePrefix="0" xfId="0">
      <alignment horizontal="right" vertical="center"/>
    </xf>
    <xf numFmtId="165" fontId="17" fillId="4" borderId="2" applyAlignment="1" pivotButton="0" quotePrefix="0" xfId="0">
      <alignment horizontal="right" vertical="center"/>
    </xf>
  </cellXfs>
  <cellStyles count="3">
    <cellStyle name="標準" xfId="0" builtinId="0"/>
    <cellStyle name="桁区切り" xfId="1" builtinId="6"/>
    <cellStyle name="標準 2" xfId="2"/>
  </cellStyles>
  <dxfs count="6"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  <dxf>
      <font>
        <name val="Meiryo UI"/>
        <b val="1"/>
        <color rgb="FF9C0006"/>
      </font>
      <fill>
        <patternFill patternType="solid">
          <fgColor rgb="FFFFC7CE"/>
        </patternFill>
      </fill>
    </dxf>
    <dxf>
      <font>
        <name val="Meiryo UI"/>
        <b val="1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4"/>
  <sheetViews>
    <sheetView showGridLines="0" workbookViewId="0">
      <selection activeCell="A1" sqref="A1"/>
    </sheetView>
  </sheetViews>
  <sheetFormatPr baseColWidth="8" defaultRowHeight="13"/>
  <cols>
    <col width="2.36328125" customWidth="1" style="158" min="1" max="3"/>
    <col width="28" customWidth="1" style="158" min="4" max="4"/>
    <col width="14" customWidth="1" style="158" min="5" max="5"/>
    <col width="10" customWidth="1" style="158" min="6" max="6"/>
  </cols>
  <sheetData>
    <row r="2" ht="19.5" customHeight="1" s="158">
      <c r="B2" s="75" t="inlineStr">
        <is>
          <t>2-4. PLシミュレーション ①Input（前提・青字が入力）</t>
        </is>
      </c>
    </row>
    <row r="3" ht="13.5" customHeight="1" s="158"/>
    <row r="4" ht="13.5" customHeight="1" s="158">
      <c r="D4" s="3" t="inlineStr">
        <is>
          <t>青字のセルだけを変更すれば、②計算・③Outputが自動で更新されます。</t>
        </is>
      </c>
    </row>
    <row r="5" ht="13.5" customHeight="1" s="158">
      <c r="D5" s="77" t="inlineStr">
        <is>
          <t>【売上ドライバー】</t>
        </is>
      </c>
      <c r="E5" s="78" t="n"/>
      <c r="F5" s="78" t="n"/>
    </row>
    <row r="6" ht="13.5" customHeight="1" s="158"/>
    <row r="7" ht="13.5" customHeight="1" s="158">
      <c r="D7" s="168" t="inlineStr">
        <is>
          <t>項目</t>
        </is>
      </c>
      <c r="E7" s="168" t="inlineStr">
        <is>
          <t>値</t>
        </is>
      </c>
      <c r="F7" s="168" t="inlineStr">
        <is>
          <t>単位</t>
        </is>
      </c>
    </row>
    <row r="8" ht="13.5" customHeight="1" s="158">
      <c r="D8" s="80" t="inlineStr">
        <is>
          <t>客室数</t>
        </is>
      </c>
      <c r="E8" s="87" t="n">
        <v>20</v>
      </c>
      <c r="F8" s="88" t="inlineStr">
        <is>
          <t>室</t>
        </is>
      </c>
    </row>
    <row r="9" ht="13.5" customHeight="1" s="158">
      <c r="D9" s="83" t="inlineStr">
        <is>
          <t>営業日数</t>
        </is>
      </c>
      <c r="E9" s="89" t="n">
        <v>365</v>
      </c>
      <c r="F9" s="90" t="inlineStr">
        <is>
          <t>日</t>
        </is>
      </c>
    </row>
    <row r="10" ht="13.5" customHeight="1" s="158">
      <c r="D10" s="83" t="inlineStr">
        <is>
          <t>稼働率</t>
        </is>
      </c>
      <c r="E10" s="189" t="n">
        <v>0.65</v>
      </c>
      <c r="F10" s="90" t="n"/>
    </row>
    <row r="11" ht="13.5" customHeight="1" s="158">
      <c r="D11" s="83" t="inlineStr">
        <is>
          <t>ADR（客室単価）</t>
        </is>
      </c>
      <c r="E11" s="89" t="n">
        <v>50000</v>
      </c>
      <c r="F11" s="90" t="inlineStr">
        <is>
          <t>円</t>
        </is>
      </c>
    </row>
    <row r="12" ht="13.5" customHeight="1" s="158">
      <c r="D12" s="83" t="inlineStr">
        <is>
          <t>宿泊人数/室</t>
        </is>
      </c>
      <c r="E12" s="190" t="n">
        <v>2</v>
      </c>
      <c r="F12" s="90" t="inlineStr">
        <is>
          <t>人</t>
        </is>
      </c>
    </row>
    <row r="13" ht="13.5" customHeight="1" s="158">
      <c r="D13" s="85" t="inlineStr">
        <is>
          <t>飲食単価/人</t>
        </is>
      </c>
      <c r="E13" s="93" t="n">
        <v>6000</v>
      </c>
      <c r="F13" s="94" t="inlineStr">
        <is>
          <t>円</t>
        </is>
      </c>
    </row>
    <row r="14" ht="13.5" customHeight="1" s="158"/>
    <row r="15" ht="13.5" customHeight="1" s="158"/>
    <row r="16" ht="13.5" customHeight="1" s="158"/>
    <row r="17" ht="13.5" customHeight="1" s="158">
      <c r="D17" s="111" t="inlineStr">
        <is>
          <t>【コストドライバー】</t>
        </is>
      </c>
      <c r="E17" s="78" t="n"/>
      <c r="F17" s="78" t="n"/>
    </row>
    <row r="18" ht="13.5" customHeight="1" s="158"/>
    <row r="19" ht="13.5" customHeight="1" s="158">
      <c r="D19" s="168" t="inlineStr">
        <is>
          <t>項目</t>
        </is>
      </c>
      <c r="E19" s="168" t="inlineStr">
        <is>
          <t>値</t>
        </is>
      </c>
      <c r="F19" s="168" t="inlineStr">
        <is>
          <t>単位</t>
        </is>
      </c>
    </row>
    <row r="20" ht="13.5" customHeight="1" s="158">
      <c r="D20" s="80" t="inlineStr">
        <is>
          <t>変動費率（対売上）</t>
        </is>
      </c>
      <c r="E20" s="191" t="n">
        <v>0.3</v>
      </c>
      <c r="F20" s="88" t="n"/>
    </row>
    <row r="21" ht="13.5" customHeight="1" s="158">
      <c r="D21" s="83" t="inlineStr">
        <is>
          <t>人件費（固定・年）</t>
        </is>
      </c>
      <c r="E21" s="89" t="n">
        <v>60000000</v>
      </c>
      <c r="F21" s="90" t="inlineStr">
        <is>
          <t>円</t>
        </is>
      </c>
    </row>
    <row r="22" ht="13.5" customHeight="1" s="158">
      <c r="D22" s="85" t="inlineStr">
        <is>
          <t>その他固定費（年）</t>
        </is>
      </c>
      <c r="E22" s="93" t="n">
        <v>48000000</v>
      </c>
      <c r="F22" s="94" t="inlineStr">
        <is>
          <t>円</t>
        </is>
      </c>
    </row>
    <row r="23" ht="13.5" customHeight="1" s="158"/>
    <row r="24" ht="13.5" customHeight="1" s="158">
      <c r="D24" s="3" t="inlineStr">
        <is>
          <t>※ 青字＝手入力の前提。黒字＝数式。緑字＝他シート参照（②③で使用）。</t>
        </is>
      </c>
    </row>
    <row r="25" ht="13.5" customHeight="1" s="158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2"/>
  <sheetViews>
    <sheetView showGridLines="0" workbookViewId="0">
      <selection activeCell="D5" sqref="D5"/>
    </sheetView>
  </sheetViews>
  <sheetFormatPr baseColWidth="8" defaultRowHeight="13"/>
  <cols>
    <col width="2.36328125" customWidth="1" style="158" min="1" max="3"/>
    <col width="30" customWidth="1" style="158" min="4" max="4"/>
    <col width="16" customWidth="1" style="158" min="5" max="5"/>
    <col width="34" customWidth="1" style="158" min="6" max="6"/>
  </cols>
  <sheetData>
    <row r="2" ht="19.5" customHeight="1" s="158">
      <c r="B2" s="75" t="inlineStr">
        <is>
          <t>2-4. PLシミュレーション ②計算（Inputを参照して積み上げ）</t>
        </is>
      </c>
    </row>
    <row r="3" ht="13.5" customHeight="1" s="158"/>
    <row r="4" ht="13.5" customHeight="1" s="158">
      <c r="D4" s="3" t="inlineStr">
        <is>
          <t>重要！：原則、青字、緑字、黒字を1セルにごっちゃにして計算しない。</t>
        </is>
      </c>
    </row>
    <row r="5" ht="13.5" customHeight="1" s="158">
      <c r="D5" s="77" t="inlineStr">
        <is>
          <t>客室・飲食売上の積み上げ</t>
        </is>
      </c>
      <c r="E5" s="78" t="n"/>
      <c r="F5" s="78" t="n"/>
    </row>
    <row r="6" ht="13.5" customHeight="1" s="158"/>
    <row r="7" ht="13.5" customHeight="1" s="158">
      <c r="D7" s="168" t="inlineStr">
        <is>
          <t>項目</t>
        </is>
      </c>
      <c r="E7" s="168" t="inlineStr">
        <is>
          <t>金額(円)</t>
        </is>
      </c>
      <c r="F7" s="168" t="inlineStr">
        <is>
          <t>計算の内容</t>
        </is>
      </c>
    </row>
    <row r="8" ht="13.5" customHeight="1" s="158">
      <c r="D8" s="115" t="inlineStr">
        <is>
          <t>客室数</t>
        </is>
      </c>
      <c r="E8" s="114">
        <f>'2-4_PL①Input'!E8</f>
        <v/>
      </c>
      <c r="F8" s="115" t="inlineStr">
        <is>
          <t>Inputシートより</t>
        </is>
      </c>
    </row>
    <row r="9" ht="13.5" customHeight="1" s="158">
      <c r="D9" s="118" t="inlineStr">
        <is>
          <t>営業日数</t>
        </is>
      </c>
      <c r="E9" s="119">
        <f>'2-4_PL①Input'!E9</f>
        <v/>
      </c>
      <c r="F9" s="118" t="inlineStr">
        <is>
          <t>Inputシートより</t>
        </is>
      </c>
    </row>
    <row r="10" ht="13.5" customHeight="1" s="158">
      <c r="D10" s="120" t="inlineStr">
        <is>
          <t>稼働率</t>
        </is>
      </c>
      <c r="E10" s="192">
        <f>'2-4_PL①Input'!E10</f>
        <v/>
      </c>
      <c r="F10" s="120" t="inlineStr">
        <is>
          <t>Inputシートより</t>
        </is>
      </c>
    </row>
    <row r="11" ht="13.5" customHeight="1" s="158">
      <c r="D11" s="171" t="inlineStr">
        <is>
          <t>稼働室数（室・年）</t>
        </is>
      </c>
      <c r="E11" s="135">
        <f>E8*E9*E10</f>
        <v/>
      </c>
      <c r="F11" s="128" t="inlineStr">
        <is>
          <t>客室数×営業日数×稼働率</t>
        </is>
      </c>
    </row>
    <row r="12" ht="13.5" customHeight="1" s="158"/>
    <row r="13" ht="13.5" customHeight="1" s="158">
      <c r="D13" s="130">
        <f>'2-4_PL①Input'!$D$11</f>
        <v/>
      </c>
      <c r="E13" s="131">
        <f>'2-4_PL①Input'!E11</f>
        <v/>
      </c>
      <c r="F13" s="82" t="inlineStr">
        <is>
          <t>Inputシートより</t>
        </is>
      </c>
    </row>
    <row r="14" ht="13.5" customHeight="1" s="158">
      <c r="D14" s="124" t="inlineStr">
        <is>
          <t>客室売上</t>
        </is>
      </c>
      <c r="E14" s="136">
        <f>E11*E13</f>
        <v/>
      </c>
      <c r="F14" s="124" t="inlineStr">
        <is>
          <t>販売室数×ADR</t>
        </is>
      </c>
    </row>
    <row r="15" ht="13.5" customHeight="1" s="158">
      <c r="D15" s="124" t="n"/>
      <c r="E15" s="136" t="n"/>
      <c r="F15" s="124" t="n"/>
    </row>
    <row r="16" ht="13.5" customHeight="1" s="158">
      <c r="D16" s="116" t="inlineStr">
        <is>
          <t>宿泊人数/室</t>
        </is>
      </c>
      <c r="E16" s="193">
        <f>'2-4_PL①Input'!E12</f>
        <v/>
      </c>
      <c r="F16" s="80" t="inlineStr">
        <is>
          <t>Inputシートより</t>
        </is>
      </c>
    </row>
    <row r="17" ht="13.5" customHeight="1" s="158">
      <c r="D17" s="132">
        <f>'2-4_PL①Input'!$D$13</f>
        <v/>
      </c>
      <c r="E17" s="133">
        <f>'2-4_PL①Input'!E13</f>
        <v/>
      </c>
      <c r="F17" s="85" t="inlineStr">
        <is>
          <t>Inputシートより</t>
        </is>
      </c>
    </row>
    <row r="18" ht="13.5" customHeight="1" s="158">
      <c r="D18" s="124" t="inlineStr">
        <is>
          <t>飲食売上</t>
        </is>
      </c>
      <c r="E18" s="136">
        <f>E11*E16*E17</f>
        <v/>
      </c>
      <c r="F18" s="122" t="inlineStr">
        <is>
          <t>稼働室数x宿泊人数/室×飲食単価/人</t>
        </is>
      </c>
    </row>
    <row r="19" ht="13.5" customHeight="1" s="158">
      <c r="D19" s="124" t="n"/>
      <c r="E19" s="136" t="n"/>
      <c r="F19" s="124" t="n"/>
    </row>
    <row r="20" ht="13.5" customHeight="1" s="158">
      <c r="D20" s="143" t="inlineStr">
        <is>
          <t>売上高 計</t>
        </is>
      </c>
      <c r="E20" s="144">
        <f>E14+E18</f>
        <v/>
      </c>
      <c r="F20" s="145" t="inlineStr">
        <is>
          <t>客室売上＋飲食売上</t>
        </is>
      </c>
    </row>
    <row r="21" ht="13.5" customHeight="1" s="158">
      <c r="D21" s="124" t="n"/>
      <c r="E21" s="124" t="n"/>
      <c r="F21" s="124" t="n"/>
    </row>
    <row r="22" ht="13.5" customHeight="1" s="158">
      <c r="D22" s="122" t="inlineStr">
        <is>
          <t>変動費率</t>
        </is>
      </c>
      <c r="E22" s="194">
        <f>'2-4_PL①Input'!E20</f>
        <v/>
      </c>
      <c r="F22" s="124" t="inlineStr">
        <is>
          <t>Inputシートより</t>
        </is>
      </c>
    </row>
    <row r="23" ht="13.5" customHeight="1" s="158">
      <c r="D23" s="124" t="inlineStr">
        <is>
          <t>変動費</t>
        </is>
      </c>
      <c r="E23" s="136">
        <f>E20*E22</f>
        <v/>
      </c>
      <c r="F23" s="124" t="inlineStr">
        <is>
          <t>売上高×変動費率</t>
        </is>
      </c>
    </row>
    <row r="24" ht="13.5" customHeight="1" s="158">
      <c r="D24" s="146" t="inlineStr">
        <is>
          <t>限界利益</t>
        </is>
      </c>
      <c r="E24" s="147">
        <f>E20-E23</f>
        <v/>
      </c>
      <c r="F24" s="148" t="inlineStr">
        <is>
          <t>売上高−変動費</t>
        </is>
      </c>
    </row>
    <row r="25" ht="13.5" customHeight="1" s="158">
      <c r="D25" s="124" t="n"/>
      <c r="E25" s="140" t="n"/>
      <c r="F25" s="124" t="n"/>
    </row>
    <row r="26" ht="13.5" customHeight="1" s="158">
      <c r="D26" s="80">
        <f>'2-4_PL①Input'!D21</f>
        <v/>
      </c>
      <c r="E26" s="114">
        <f>'2-4_PL①Input'!E21</f>
        <v/>
      </c>
      <c r="F26" s="80" t="n"/>
    </row>
    <row r="27" ht="13.5" customHeight="1" s="158">
      <c r="D27" s="85">
        <f>'2-4_PL①Input'!D22</f>
        <v/>
      </c>
      <c r="E27" s="142">
        <f>'2-4_PL①Input'!E22</f>
        <v/>
      </c>
      <c r="F27" s="85" t="n"/>
    </row>
    <row r="28" ht="13.5" customHeight="1" s="158">
      <c r="D28" s="151" t="inlineStr">
        <is>
          <t>固定費 計</t>
        </is>
      </c>
      <c r="E28" s="152">
        <f>SUM(E26:E27)</f>
        <v/>
      </c>
      <c r="F28" s="153" t="inlineStr">
        <is>
          <t>人件費＋その他固定費</t>
        </is>
      </c>
    </row>
    <row r="29" ht="13.5" customHeight="1" s="158">
      <c r="D29" s="124" t="n"/>
      <c r="E29" s="136" t="n"/>
      <c r="F29" s="124" t="n"/>
    </row>
    <row r="30" ht="13.5" customHeight="1" s="158">
      <c r="D30" s="143" t="inlineStr">
        <is>
          <t>営業利益</t>
        </is>
      </c>
      <c r="E30" s="149">
        <f>E24-E28</f>
        <v/>
      </c>
      <c r="F30" s="150" t="inlineStr">
        <is>
          <t>限界利益−固定費</t>
        </is>
      </c>
    </row>
    <row r="31" ht="13.5" customHeight="1" s="158"/>
    <row r="32" ht="13.5" customHeight="1" s="158">
      <c r="D32" s="3" t="inlineStr">
        <is>
          <t>緑字＝①Inputへの参照。黄色＝主要な中間・最終アウトプット。</t>
        </is>
      </c>
    </row>
    <row r="33" ht="13.5" customHeight="1" s="158"/>
    <row r="34" ht="13.5" customHeight="1" s="158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selection activeCell="A1" sqref="A1"/>
    </sheetView>
  </sheetViews>
  <sheetFormatPr baseColWidth="8" defaultRowHeight="13"/>
  <cols>
    <col width="2.36328125" customWidth="1" style="158" min="1" max="3"/>
    <col width="23.453125" customWidth="1" style="158" min="4" max="4"/>
    <col width="18" customWidth="1" style="158" min="5" max="5"/>
    <col width="12" customWidth="1" style="158" min="6" max="6"/>
  </cols>
  <sheetData>
    <row r="2" ht="19.5" customHeight="1" s="158">
      <c r="B2" s="75" t="inlineStr">
        <is>
          <t>2-4. PLシミュレーション ③Output（PLサマリ）</t>
        </is>
      </c>
    </row>
    <row r="3" ht="13.5" customHeight="1" s="158"/>
    <row r="4" ht="13.5" customHeight="1" s="158">
      <c r="D4" s="3" t="inlineStr">
        <is>
          <t>PPTに張り付けるサマリなどは、数字の色を付けません。</t>
        </is>
      </c>
    </row>
    <row r="5" ht="13.5" customHeight="1" s="158">
      <c r="D5" s="77" t="inlineStr">
        <is>
          <t>年間 損益計算書（サマリ）</t>
        </is>
      </c>
      <c r="E5" s="78" t="n"/>
      <c r="F5" s="78" t="n"/>
    </row>
    <row r="6" ht="13.5" customHeight="1" s="158">
      <c r="D6" s="165" t="inlineStr">
        <is>
          <t>単位：　百万円</t>
        </is>
      </c>
    </row>
    <row r="7" ht="13.5" customHeight="1" s="158"/>
    <row r="8" ht="13.5" customHeight="1" s="158">
      <c r="D8" s="168" t="inlineStr">
        <is>
          <t>項目</t>
        </is>
      </c>
      <c r="E8" s="154" t="inlineStr">
        <is>
          <t>金額</t>
        </is>
      </c>
      <c r="F8" s="154" t="inlineStr">
        <is>
          <t>対売上%</t>
        </is>
      </c>
    </row>
    <row r="9" ht="13.5" customHeight="1" s="158">
      <c r="D9" s="128" t="inlineStr">
        <is>
          <t>売上高</t>
        </is>
      </c>
      <c r="E9" s="195">
        <f>'2-4_PL②計算'!E20/10^6</f>
        <v/>
      </c>
      <c r="F9" s="196">
        <f>E9/$E$9</f>
        <v/>
      </c>
    </row>
    <row r="10" ht="13.5" customHeight="1" s="158"/>
    <row r="11" ht="13.5" customHeight="1" s="158">
      <c r="D11" s="129" t="inlineStr">
        <is>
          <t>変動費</t>
        </is>
      </c>
      <c r="E11" s="197">
        <f>'2-4_PL②計算'!E23/10^6</f>
        <v/>
      </c>
      <c r="F11" s="198">
        <f>-E11/$E$9</f>
        <v/>
      </c>
    </row>
    <row r="12" ht="13.5" customHeight="1" s="158">
      <c r="D12" s="171" t="inlineStr">
        <is>
          <t>限界利益</t>
        </is>
      </c>
      <c r="E12" s="195">
        <f>E9-E11</f>
        <v/>
      </c>
      <c r="F12" s="199">
        <f>E12/$E$9</f>
        <v/>
      </c>
    </row>
    <row r="13" ht="13.5" customHeight="1" s="158"/>
    <row r="14" ht="13.5" customHeight="1" s="158">
      <c r="D14" s="129" t="inlineStr">
        <is>
          <t>固定費</t>
        </is>
      </c>
      <c r="E14" s="197">
        <f>'2-4_PL②計算'!E28/10^6</f>
        <v/>
      </c>
      <c r="F14" s="198">
        <f>-E14/$E$9</f>
        <v/>
      </c>
    </row>
    <row r="15" ht="13.5" customHeight="1" s="158">
      <c r="D15" s="143" t="inlineStr">
        <is>
          <t>営業利益</t>
        </is>
      </c>
      <c r="E15" s="200">
        <f>E12-E14</f>
        <v/>
      </c>
      <c r="F15" s="201">
        <f>E15/$E$9</f>
        <v/>
      </c>
    </row>
    <row r="16" ht="13.5" customHeight="1" s="158"/>
    <row r="17" ht="13.5" customHeight="1" s="158">
      <c r="D17" s="3" t="inlineStr">
        <is>
          <t>Input①の青字（稼働率・ADR等）を変えると、この③まで一気に更新されます。</t>
        </is>
      </c>
    </row>
    <row r="18" ht="13.5" customHeight="1" s="158"/>
    <row r="19" ht="13.5" customHeight="1" s="158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2026-07-20T16:11:38Z</dcterms:created>
  <dcterms:modified xsi:type="dcterms:W3CDTF">2026-07-21T02:30:59Z</dcterms:modified>
  <cp:lastModifiedBy>ARTH.inc</cp:lastModifiedBy>
</cp:coreProperties>
</file>