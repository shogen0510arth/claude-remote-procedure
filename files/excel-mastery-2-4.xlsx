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2-4_PL①Input" sheetId="1" state="visible" r:id="rId1"/>
    <sheet name="2-4_PL②計算" sheetId="2" state="visible" r:id="rId2"/>
    <sheet name="2-4_PL③Outpu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20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165" fontId="23" fillId="3" borderId="14" applyAlignment="1" pivotButton="0" quotePrefix="0" xfId="0">
      <alignment horizontal="right" vertical="center"/>
    </xf>
    <xf numFmtId="167" fontId="16" fillId="0" borderId="20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167" fontId="16" fillId="0" borderId="0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8" customWidth="1" min="4" max="4"/>
    <col width="14" customWidth="1" min="5" max="5"/>
    <col width="10" customWidth="1" min="6" max="6"/>
  </cols>
  <sheetData>
    <row r="2" ht="19.5" customHeight="1">
      <c r="B2" s="64" t="inlineStr">
        <is>
          <t>2-4. PLシミュレーション ①Input（前提・青字が入力）</t>
        </is>
      </c>
    </row>
    <row r="3" ht="13.5" customHeight="1"/>
    <row r="4" ht="13.5" customHeight="1">
      <c r="D4" s="3" t="inlineStr">
        <is>
          <t>青字のセルだけを変更すれば、②計算・③Outputが自動で更新されます。</t>
        </is>
      </c>
    </row>
    <row r="5" ht="13.5" customHeight="1">
      <c r="D5" s="66" t="inlineStr">
        <is>
          <t>【売上ドライバー】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値</t>
        </is>
      </c>
      <c r="F7" s="68" t="inlineStr">
        <is>
          <t>単位</t>
        </is>
      </c>
    </row>
    <row r="8" ht="13.5" customHeight="1">
      <c r="D8" s="69" t="inlineStr">
        <is>
          <t>客室数</t>
        </is>
      </c>
      <c r="E8" s="76" t="n">
        <v>20</v>
      </c>
      <c r="F8" s="77" t="inlineStr">
        <is>
          <t>室</t>
        </is>
      </c>
    </row>
    <row r="9" ht="13.5" customHeight="1">
      <c r="D9" s="72" t="inlineStr">
        <is>
          <t>営業日数</t>
        </is>
      </c>
      <c r="E9" s="78" t="n">
        <v>365</v>
      </c>
      <c r="F9" s="79" t="inlineStr">
        <is>
          <t>日</t>
        </is>
      </c>
    </row>
    <row r="10" ht="13.5" customHeight="1">
      <c r="D10" s="72" t="inlineStr">
        <is>
          <t>稼働率</t>
        </is>
      </c>
      <c r="E10" s="191" t="n">
        <v>0.65</v>
      </c>
      <c r="F10" s="79" t="n"/>
    </row>
    <row r="11" ht="13.5" customHeight="1">
      <c r="D11" s="72" t="inlineStr">
        <is>
          <t>ADR（客室単価）</t>
        </is>
      </c>
      <c r="E11" s="78" t="n">
        <v>50000</v>
      </c>
      <c r="F11" s="79" t="inlineStr">
        <is>
          <t>円</t>
        </is>
      </c>
    </row>
    <row r="12" ht="13.5" customHeight="1">
      <c r="D12" s="72" t="inlineStr">
        <is>
          <t>宿泊人数/室</t>
        </is>
      </c>
      <c r="E12" s="192" t="n">
        <v>2</v>
      </c>
      <c r="F12" s="79" t="inlineStr">
        <is>
          <t>人</t>
        </is>
      </c>
    </row>
    <row r="13" ht="13.5" customHeight="1">
      <c r="D13" s="74" t="inlineStr">
        <is>
          <t>飲食単価/人</t>
        </is>
      </c>
      <c r="E13" s="82" t="n">
        <v>6000</v>
      </c>
      <c r="F13" s="83" t="inlineStr">
        <is>
          <t>円</t>
        </is>
      </c>
    </row>
    <row r="14" ht="13.5" customHeight="1"/>
    <row r="15" ht="13.5" customHeight="1"/>
    <row r="16" ht="13.5" customHeight="1"/>
    <row r="17" ht="13.5" customHeight="1">
      <c r="D17" s="97" t="inlineStr">
        <is>
          <t>【コストドライバー】</t>
        </is>
      </c>
      <c r="E17" s="67" t="n"/>
      <c r="F17" s="67" t="n"/>
    </row>
    <row r="18" ht="13.5" customHeight="1"/>
    <row r="19" ht="13.5" customHeight="1">
      <c r="D19" s="68" t="inlineStr">
        <is>
          <t>項目</t>
        </is>
      </c>
      <c r="E19" s="68" t="inlineStr">
        <is>
          <t>値</t>
        </is>
      </c>
      <c r="F19" s="68" t="inlineStr">
        <is>
          <t>単位</t>
        </is>
      </c>
    </row>
    <row r="20" ht="13.5" customHeight="1">
      <c r="D20" s="69" t="inlineStr">
        <is>
          <t>変動費率（対売上）</t>
        </is>
      </c>
      <c r="E20" s="193" t="n">
        <v>0.3</v>
      </c>
      <c r="F20" s="77" t="n"/>
    </row>
    <row r="21" ht="13.5" customHeight="1">
      <c r="D21" s="72" t="inlineStr">
        <is>
          <t>人件費（固定・年）</t>
        </is>
      </c>
      <c r="E21" s="78" t="n">
        <v>60000000</v>
      </c>
      <c r="F21" s="79" t="inlineStr">
        <is>
          <t>円</t>
        </is>
      </c>
    </row>
    <row r="22" ht="13.5" customHeight="1">
      <c r="D22" s="74" t="inlineStr">
        <is>
          <t>その他固定費（年）</t>
        </is>
      </c>
      <c r="E22" s="82" t="n">
        <v>48000000</v>
      </c>
      <c r="F22" s="83" t="inlineStr">
        <is>
          <t>円</t>
        </is>
      </c>
    </row>
    <row r="23" ht="13.5" customHeight="1"/>
    <row r="24" ht="13.5" customHeight="1">
      <c r="D24" s="3" t="inlineStr">
        <is>
          <t>※ 青字＝手入力の前提。黒字＝数式。緑字＝他シート参照（②③で使用）。</t>
        </is>
      </c>
    </row>
    <row r="25" ht="13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D5" sqref="D5"/>
    </sheetView>
  </sheetViews>
  <sheetFormatPr baseColWidth="8" defaultRowHeight="13"/>
  <cols>
    <col width="2.36328125" customWidth="1" min="1" max="3"/>
    <col width="30" customWidth="1" min="4" max="4"/>
    <col width="16" customWidth="1" min="5" max="5"/>
    <col width="34" customWidth="1" min="6" max="6"/>
  </cols>
  <sheetData>
    <row r="2" ht="19.5" customHeight="1">
      <c r="B2" s="64" t="inlineStr">
        <is>
          <t>2-4. PLシミュレーション ②計算（Inputを参照して積み上げ）</t>
        </is>
      </c>
    </row>
    <row r="3" ht="13.5" customHeight="1"/>
    <row r="4" ht="13.5" customHeight="1">
      <c r="D4" s="3" t="inlineStr">
        <is>
          <t>重要！：原則、青字、緑字、黒字を1セルにごっちゃにして計算しない。</t>
        </is>
      </c>
    </row>
    <row r="5" ht="13.5" customHeight="1">
      <c r="D5" s="66" t="inlineStr">
        <is>
          <t>客室・飲食売上の積み上げ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金額(円)</t>
        </is>
      </c>
      <c r="F7" s="68" t="inlineStr">
        <is>
          <t>計算の内容</t>
        </is>
      </c>
    </row>
    <row r="8" ht="13.5" customHeight="1">
      <c r="D8" s="101" t="inlineStr">
        <is>
          <t>客室数</t>
        </is>
      </c>
      <c r="E8" s="100">
        <f>'2-4_PL①Input'!E8</f>
        <v/>
      </c>
      <c r="F8" s="101" t="inlineStr">
        <is>
          <t>Inputシートより</t>
        </is>
      </c>
    </row>
    <row r="9" ht="13.5" customHeight="1">
      <c r="D9" s="104" t="inlineStr">
        <is>
          <t>営業日数</t>
        </is>
      </c>
      <c r="E9" s="105">
        <f>'2-4_PL①Input'!E9</f>
        <v/>
      </c>
      <c r="F9" s="104" t="inlineStr">
        <is>
          <t>Inputシートより</t>
        </is>
      </c>
    </row>
    <row r="10" ht="13.5" customHeight="1">
      <c r="D10" s="106" t="inlineStr">
        <is>
          <t>稼働率</t>
        </is>
      </c>
      <c r="E10" s="194">
        <f>'2-4_PL①Input'!E10</f>
        <v/>
      </c>
      <c r="F10" s="106" t="inlineStr">
        <is>
          <t>Inputシートより</t>
        </is>
      </c>
    </row>
    <row r="11" ht="13.5" customHeight="1">
      <c r="D11" s="112" t="inlineStr">
        <is>
          <t>稼働室数（室・年）</t>
        </is>
      </c>
      <c r="E11" s="119">
        <f>E8*E9*E10</f>
        <v/>
      </c>
      <c r="F11" s="113" t="inlineStr">
        <is>
          <t>客室数×営業日数×稼働率</t>
        </is>
      </c>
    </row>
    <row r="12" ht="13.5" customHeight="1"/>
    <row r="13" ht="13.5" customHeight="1">
      <c r="D13" s="115">
        <f>'2-4_PL①Input'!$D$11</f>
        <v/>
      </c>
      <c r="E13" s="116">
        <f>'2-4_PL①Input'!E11</f>
        <v/>
      </c>
      <c r="F13" s="71" t="inlineStr">
        <is>
          <t>Inputシートより</t>
        </is>
      </c>
    </row>
    <row r="14" ht="13.5" customHeight="1">
      <c r="D14" s="109" t="inlineStr">
        <is>
          <t>客室売上</t>
        </is>
      </c>
      <c r="E14" s="120">
        <f>E11*E13</f>
        <v/>
      </c>
      <c r="F14" s="109" t="inlineStr">
        <is>
          <t>販売室数×ADR</t>
        </is>
      </c>
    </row>
    <row r="15" ht="13.5" customHeight="1">
      <c r="D15" s="109" t="n"/>
      <c r="E15" s="120" t="n"/>
      <c r="F15" s="109" t="n"/>
    </row>
    <row r="16" ht="13.5" customHeight="1">
      <c r="D16" s="102" t="inlineStr">
        <is>
          <t>宿泊人数/室</t>
        </is>
      </c>
      <c r="E16" s="195">
        <f>'2-4_PL①Input'!E12</f>
        <v/>
      </c>
      <c r="F16" s="69" t="inlineStr">
        <is>
          <t>Inputシートより</t>
        </is>
      </c>
    </row>
    <row r="17" ht="13.5" customHeight="1">
      <c r="D17" s="117">
        <f>'2-4_PL①Input'!$D$13</f>
        <v/>
      </c>
      <c r="E17" s="118">
        <f>'2-4_PL①Input'!E13</f>
        <v/>
      </c>
      <c r="F17" s="74" t="inlineStr">
        <is>
          <t>Inputシートより</t>
        </is>
      </c>
    </row>
    <row r="18" ht="13.5" customHeight="1">
      <c r="D18" s="109" t="inlineStr">
        <is>
          <t>飲食売上</t>
        </is>
      </c>
      <c r="E18" s="120">
        <f>E11*E16*E17</f>
        <v/>
      </c>
      <c r="F18" s="7" t="inlineStr">
        <is>
          <t>稼働室数x宿泊人数/室×飲食単価/人</t>
        </is>
      </c>
    </row>
    <row r="19" ht="13.5" customHeight="1">
      <c r="D19" s="109" t="n"/>
      <c r="E19" s="120" t="n"/>
      <c r="F19" s="109" t="n"/>
    </row>
    <row r="20" ht="13.5" customHeight="1">
      <c r="D20" s="127" t="inlineStr">
        <is>
          <t>売上高 計</t>
        </is>
      </c>
      <c r="E20" s="128">
        <f>E14+E18</f>
        <v/>
      </c>
      <c r="F20" s="129" t="inlineStr">
        <is>
          <t>客室売上＋飲食売上</t>
        </is>
      </c>
    </row>
    <row r="21" ht="13.5" customHeight="1">
      <c r="D21" s="109" t="n"/>
      <c r="E21" s="109" t="n"/>
      <c r="F21" s="109" t="n"/>
    </row>
    <row r="22" ht="13.5" customHeight="1">
      <c r="D22" s="7" t="inlineStr">
        <is>
          <t>変動費率</t>
        </is>
      </c>
      <c r="E22" s="196">
        <f>'2-4_PL①Input'!E20</f>
        <v/>
      </c>
      <c r="F22" s="109" t="inlineStr">
        <is>
          <t>Inputシートより</t>
        </is>
      </c>
    </row>
    <row r="23" ht="13.5" customHeight="1">
      <c r="D23" s="109" t="inlineStr">
        <is>
          <t>変動費</t>
        </is>
      </c>
      <c r="E23" s="120">
        <f>E20*E22</f>
        <v/>
      </c>
      <c r="F23" s="109" t="inlineStr">
        <is>
          <t>売上高×変動費率</t>
        </is>
      </c>
    </row>
    <row r="24" ht="13.5" customHeight="1">
      <c r="D24" s="130" t="inlineStr">
        <is>
          <t>限界利益</t>
        </is>
      </c>
      <c r="E24" s="131">
        <f>E20-E23</f>
        <v/>
      </c>
      <c r="F24" s="132" t="inlineStr">
        <is>
          <t>売上高−変動費</t>
        </is>
      </c>
    </row>
    <row r="25" ht="13.5" customHeight="1">
      <c r="D25" s="109" t="n"/>
      <c r="E25" s="124" t="n"/>
      <c r="F25" s="109" t="n"/>
    </row>
    <row r="26" ht="13.5" customHeight="1">
      <c r="D26" s="69">
        <f>'2-4_PL①Input'!D21</f>
        <v/>
      </c>
      <c r="E26" s="100">
        <f>'2-4_PL①Input'!E21</f>
        <v/>
      </c>
      <c r="F26" s="69" t="n"/>
    </row>
    <row r="27" ht="13.5" customHeight="1">
      <c r="D27" s="74">
        <f>'2-4_PL①Input'!D22</f>
        <v/>
      </c>
      <c r="E27" s="126">
        <f>'2-4_PL①Input'!E22</f>
        <v/>
      </c>
      <c r="F27" s="74" t="n"/>
    </row>
    <row r="28" ht="13.5" customHeight="1">
      <c r="D28" s="135" t="inlineStr">
        <is>
          <t>固定費 計</t>
        </is>
      </c>
      <c r="E28" s="136">
        <f>SUM(E26:E27)</f>
        <v/>
      </c>
      <c r="F28" s="137" t="inlineStr">
        <is>
          <t>人件費＋その他固定費</t>
        </is>
      </c>
    </row>
    <row r="29" ht="13.5" customHeight="1">
      <c r="D29" s="109" t="n"/>
      <c r="E29" s="120" t="n"/>
      <c r="F29" s="109" t="n"/>
    </row>
    <row r="30" ht="13.5" customHeight="1">
      <c r="D30" s="127" t="inlineStr">
        <is>
          <t>営業利益</t>
        </is>
      </c>
      <c r="E30" s="133">
        <f>E24-E28</f>
        <v/>
      </c>
      <c r="F30" s="134" t="inlineStr">
        <is>
          <t>限界利益−固定費</t>
        </is>
      </c>
    </row>
    <row r="31" ht="13.5" customHeight="1"/>
    <row r="32" ht="13.5" customHeight="1">
      <c r="D32" s="3" t="inlineStr">
        <is>
          <t>緑字＝①Inputへの参照。黄色＝主要な中間・最終アウトプット。</t>
        </is>
      </c>
    </row>
    <row r="33" ht="13.5" customHeight="1"/>
    <row r="34" ht="13.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3.453125" customWidth="1" min="4" max="4"/>
    <col width="18" customWidth="1" min="5" max="5"/>
    <col width="12" customWidth="1" min="6" max="6"/>
  </cols>
  <sheetData>
    <row r="2" ht="19.5" customHeight="1">
      <c r="B2" s="64" t="inlineStr">
        <is>
          <t>2-4. PLシミュレーション ③Output（PLサマリ）</t>
        </is>
      </c>
    </row>
    <row r="3" ht="13.5" customHeight="1"/>
    <row r="4" ht="13.5" customHeight="1">
      <c r="D4" s="3" t="inlineStr">
        <is>
          <t>PPTに張り付けるサマリなどは、数字の色を付けません。</t>
        </is>
      </c>
    </row>
    <row r="5" ht="13.5" customHeight="1">
      <c r="D5" s="66" t="inlineStr">
        <is>
          <t>年間 損益計算書（サマリ）</t>
        </is>
      </c>
      <c r="E5" s="67" t="n"/>
      <c r="F5" s="67" t="n"/>
    </row>
    <row r="6" ht="13.5" customHeight="1">
      <c r="D6" s="145" t="inlineStr">
        <is>
          <t>単位：　百万円</t>
        </is>
      </c>
    </row>
    <row r="7" ht="13.5" customHeight="1"/>
    <row r="8" ht="13.5" customHeight="1">
      <c r="D8" s="68" t="inlineStr">
        <is>
          <t>項目</t>
        </is>
      </c>
      <c r="E8" s="138" t="inlineStr">
        <is>
          <t>金額</t>
        </is>
      </c>
      <c r="F8" s="138" t="inlineStr">
        <is>
          <t>対売上%</t>
        </is>
      </c>
    </row>
    <row r="9" ht="13.5" customHeight="1">
      <c r="D9" s="113" t="inlineStr">
        <is>
          <t>売上高</t>
        </is>
      </c>
      <c r="E9" s="197">
        <f>'2-4_PL②計算'!E20/10^6</f>
        <v/>
      </c>
      <c r="F9" s="198">
        <f>E9/$E$9</f>
        <v/>
      </c>
    </row>
    <row r="10" ht="13.5" customHeight="1"/>
    <row r="11" ht="13.5" customHeight="1">
      <c r="D11" s="114" t="inlineStr">
        <is>
          <t>変動費</t>
        </is>
      </c>
      <c r="E11" s="199">
        <f>'2-4_PL②計算'!E23/10^6</f>
        <v/>
      </c>
      <c r="F11" s="200">
        <f>-E11/$E$9</f>
        <v/>
      </c>
    </row>
    <row r="12" ht="13.5" customHeight="1">
      <c r="D12" s="112" t="inlineStr">
        <is>
          <t>限界利益</t>
        </is>
      </c>
      <c r="E12" s="197">
        <f>E9-E11</f>
        <v/>
      </c>
      <c r="F12" s="201">
        <f>E12/$E$9</f>
        <v/>
      </c>
    </row>
    <row r="13" ht="13.5" customHeight="1"/>
    <row r="14" ht="13.5" customHeight="1">
      <c r="D14" s="114" t="inlineStr">
        <is>
          <t>固定費</t>
        </is>
      </c>
      <c r="E14" s="199">
        <f>'2-4_PL②計算'!E28/10^6</f>
        <v/>
      </c>
      <c r="F14" s="200">
        <f>-E14/$E$9</f>
        <v/>
      </c>
    </row>
    <row r="15" ht="13.5" customHeight="1">
      <c r="D15" s="127" t="inlineStr">
        <is>
          <t>営業利益</t>
        </is>
      </c>
      <c r="E15" s="202">
        <f>E12-E14</f>
        <v/>
      </c>
      <c r="F15" s="203">
        <f>E15/$E$9</f>
        <v/>
      </c>
    </row>
    <row r="16" ht="13.5" customHeight="1"/>
    <row r="17" ht="13.5" customHeight="1">
      <c r="D17" s="3" t="inlineStr">
        <is>
          <t>Input①の青字（稼働率・ADR等）を変えると、この③まで一気に更新されます。</t>
        </is>
      </c>
    </row>
    <row r="18" ht="13.5" customHeight="1"/>
    <row r="19" ht="13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2026-07-21T03:37:37Z</dcterms:modified>
  <cp:lastModifiedBy>ARTH.inc</cp:lastModifiedBy>
</cp:coreProperties>
</file>