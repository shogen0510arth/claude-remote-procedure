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280" windowWidth="17320" windowHeight="10400" tabRatio="773" firstSheet="2" activeTab="0" autoFilterDateGrouping="1"/>
  </bookViews>
  <sheets>
    <sheet name="2-2_クリーニング_スピル関数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192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  <xf numFmtId="0" fontId="6" fillId="0" borderId="0" applyAlignment="1" pivotButton="0" quotePrefix="1" xfId="0">
      <alignment horizontal="lef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25"/>
  <sheetViews>
    <sheetView showGridLines="0" tabSelected="1" workbookViewId="0">
      <selection activeCell="A1" sqref="A1"/>
    </sheetView>
  </sheetViews>
  <sheetFormatPr baseColWidth="8" defaultRowHeight="13"/>
  <cols>
    <col width="2.36328125" customWidth="1" min="1" max="3"/>
    <col width="10" customWidth="1" min="4" max="4"/>
    <col width="22" customWidth="1" min="5" max="5"/>
    <col width="14" customWidth="1" min="6" max="7"/>
    <col width="24" customWidth="1" min="9" max="9"/>
    <col width="14" customWidth="1" min="10" max="10"/>
  </cols>
  <sheetData>
    <row r="2" ht="19.5" customHeight="1">
      <c r="B2" s="64" t="inlineStr">
        <is>
          <t>2-2. データ加工・クリーニング ― UNIQUE / FILTER / SORT</t>
        </is>
      </c>
    </row>
    <row r="3" ht="13.5" customHeight="1"/>
    <row r="4" ht="13.5" customHeight="1">
      <c r="D4" s="3" t="inlineStr">
        <is>
          <t>元データの予約経路(OTA)には重複があります。動的配列関数でユニークな一覧を作ります。※Excelで開くと自動計算・spillします。</t>
        </is>
      </c>
    </row>
    <row r="5" ht="13.5" customHeight="1">
      <c r="D5" s="66" t="inlineStr">
        <is>
          <t>① 元データ：予約経路つき明細</t>
        </is>
      </c>
      <c r="E5" s="67" t="n"/>
      <c r="F5" s="67" t="n"/>
      <c r="G5" s="67" t="n"/>
      <c r="I5" s="97" t="inlineStr">
        <is>
          <t>② OTAのユニーク一覧</t>
        </is>
      </c>
      <c r="J5" s="67" t="n"/>
    </row>
    <row r="6" ht="13.5" customHeight="1"/>
    <row r="7" ht="13.5" customHeight="1">
      <c r="D7" s="68" t="inlineStr">
        <is>
          <t>予約ID</t>
        </is>
      </c>
      <c r="E7" s="68" t="inlineStr">
        <is>
          <t>予約経路(OTA)</t>
        </is>
      </c>
      <c r="F7" s="138" t="inlineStr">
        <is>
          <t>海外/国内</t>
        </is>
      </c>
      <c r="G7" s="68" t="inlineStr">
        <is>
          <t>売上(円)</t>
        </is>
      </c>
      <c r="I7" s="68" t="inlineStr">
        <is>
          <t>数式</t>
        </is>
      </c>
    </row>
    <row r="8" ht="13.5" customHeight="1">
      <c r="D8" s="69" t="inlineStr">
        <is>
          <t>R001</t>
        </is>
      </c>
      <c r="E8" s="69" t="inlineStr">
        <is>
          <t>楽天トラベル</t>
        </is>
      </c>
      <c r="F8" s="102" t="inlineStr">
        <is>
          <t>国内</t>
        </is>
      </c>
      <c r="G8" s="70" t="n">
        <v>160000</v>
      </c>
      <c r="I8" s="98" t="inlineStr">
        <is>
          <t>=SORT(UNIQUE(FILTER(#:#,#:#=***)))</t>
        </is>
      </c>
      <c r="J8" s="98" t="n"/>
    </row>
    <row r="9" ht="13.5" customHeight="1">
      <c r="D9" s="72" t="inlineStr">
        <is>
          <t>R002</t>
        </is>
      </c>
      <c r="E9" s="72" t="inlineStr">
        <is>
          <t>じゃらん</t>
        </is>
      </c>
      <c r="F9" s="72" t="inlineStr">
        <is>
          <t>国内</t>
        </is>
      </c>
      <c r="G9" s="73" t="n">
        <v>108000</v>
      </c>
      <c r="I9" s="3" t="inlineStr">
        <is>
          <t>↑ このセルに1つ入れるだけで、</t>
        </is>
      </c>
    </row>
    <row r="10" ht="13.5" customHeight="1">
      <c r="D10" s="72" t="inlineStr">
        <is>
          <t>R003</t>
        </is>
      </c>
      <c r="E10" s="72" t="inlineStr">
        <is>
          <t>Booking.com</t>
        </is>
      </c>
      <c r="F10" s="99" t="inlineStr">
        <is>
          <t>海外</t>
        </is>
      </c>
      <c r="G10" s="73" t="n">
        <v>72000</v>
      </c>
      <c r="I10" s="3" t="inlineStr">
        <is>
          <t>重複を除いた経路名が下方向にスピル表示されます。</t>
        </is>
      </c>
    </row>
    <row r="11" ht="13.5" customHeight="1">
      <c r="D11" s="72" t="inlineStr">
        <is>
          <t>R004</t>
        </is>
      </c>
      <c r="E11" s="72" t="inlineStr">
        <is>
          <t>楽天トラベル</t>
        </is>
      </c>
      <c r="F11" s="72" t="inlineStr">
        <is>
          <t>国内</t>
        </is>
      </c>
      <c r="G11" s="73" t="n">
        <v>180000</v>
      </c>
      <c r="I11" s="188" t="n"/>
    </row>
    <row r="12" ht="13.5" customHeight="1">
      <c r="D12" s="72" t="inlineStr">
        <is>
          <t>R005</t>
        </is>
      </c>
      <c r="E12" s="72" t="inlineStr">
        <is>
          <t>公式サイト</t>
        </is>
      </c>
      <c r="F12" s="72" t="inlineStr">
        <is>
          <t>国内</t>
        </is>
      </c>
      <c r="G12" s="73" t="n">
        <v>95000</v>
      </c>
    </row>
    <row r="13" ht="13.5" customHeight="1">
      <c r="D13" s="72" t="inlineStr">
        <is>
          <t>R006</t>
        </is>
      </c>
      <c r="E13" s="72" t="inlineStr">
        <is>
          <t>じゃらん</t>
        </is>
      </c>
      <c r="F13" s="72" t="inlineStr">
        <is>
          <t>国内</t>
        </is>
      </c>
      <c r="G13" s="73" t="n">
        <v>36000</v>
      </c>
    </row>
    <row r="14" ht="13.5" customHeight="1">
      <c r="D14" s="72" t="inlineStr">
        <is>
          <t>R007</t>
        </is>
      </c>
      <c r="E14" s="72" t="inlineStr">
        <is>
          <t>Expedia</t>
        </is>
      </c>
      <c r="F14" s="99" t="inlineStr">
        <is>
          <t>海外</t>
        </is>
      </c>
      <c r="G14" s="73" t="n">
        <v>152000</v>
      </c>
      <c r="I14" s="97" t="inlineStr">
        <is>
          <t>③ 実例：OTA別の売上集計と FILTER 抽出</t>
        </is>
      </c>
      <c r="J14" s="67" t="n"/>
    </row>
    <row r="15" ht="13.5" customHeight="1">
      <c r="D15" s="72" t="inlineStr">
        <is>
          <t>R008</t>
        </is>
      </c>
      <c r="E15" s="72" t="inlineStr">
        <is>
          <t>Booking.com</t>
        </is>
      </c>
      <c r="F15" s="99" t="inlineStr">
        <is>
          <t>海外</t>
        </is>
      </c>
      <c r="G15" s="73" t="n">
        <v>74000</v>
      </c>
    </row>
    <row r="16" ht="13.5" customHeight="1">
      <c r="D16" s="72" t="inlineStr">
        <is>
          <t>R009</t>
        </is>
      </c>
      <c r="E16" s="72" t="inlineStr">
        <is>
          <t>楽天トラベル</t>
        </is>
      </c>
      <c r="F16" s="72" t="inlineStr">
        <is>
          <t>国内</t>
        </is>
      </c>
      <c r="G16" s="73" t="n">
        <v>92000</v>
      </c>
      <c r="I16" s="68" t="inlineStr">
        <is>
          <t>OTA</t>
        </is>
      </c>
      <c r="J16" s="68" t="inlineStr">
        <is>
          <t>売上計(円)</t>
        </is>
      </c>
    </row>
    <row r="17" ht="13.5" customHeight="1">
      <c r="D17" s="72" t="inlineStr">
        <is>
          <t>R010</t>
        </is>
      </c>
      <c r="E17" s="72" t="inlineStr">
        <is>
          <t>公式サイト</t>
        </is>
      </c>
      <c r="F17" s="72" t="inlineStr">
        <is>
          <t>国内</t>
        </is>
      </c>
      <c r="G17" s="73" t="n">
        <v>270000</v>
      </c>
      <c r="I17" s="69">
        <f t="array" ref="I17:I20">_xlfn._xlws.SORT(_xlfn.UNIQUE(_xlfn._xlws.FILTER(E8:E19, F8:F19="国内")))</f>
        <v/>
      </c>
      <c r="J17" s="70">
        <f t="array" ref="J17:J20">SUMIFS($G$8:$G$19,$E$8:$E$19,_xlfn.ANCHORARRAY(I17))</f>
        <v/>
      </c>
    </row>
    <row r="18" ht="13.5" customHeight="1">
      <c r="D18" s="72" t="inlineStr">
        <is>
          <t>R011</t>
        </is>
      </c>
      <c r="E18" s="72" t="inlineStr">
        <is>
          <t>一休.com</t>
        </is>
      </c>
      <c r="F18" s="72" t="inlineStr">
        <is>
          <t>国内</t>
        </is>
      </c>
      <c r="G18" s="73" t="n">
        <v>210000</v>
      </c>
      <c r="I18" s="72" t="inlineStr">
        <is>
          <t>一休.com</t>
        </is>
      </c>
      <c r="J18" s="73" t="n">
        <v>210000</v>
      </c>
    </row>
    <row r="19" ht="13.5" customHeight="1">
      <c r="D19" s="72" t="inlineStr">
        <is>
          <t>R012</t>
        </is>
      </c>
      <c r="E19" s="72" t="inlineStr">
        <is>
          <t>じゃらん</t>
        </is>
      </c>
      <c r="F19" s="72" t="inlineStr">
        <is>
          <t>国内</t>
        </is>
      </c>
      <c r="G19" s="73" t="n">
        <v>64000</v>
      </c>
      <c r="I19" s="72" t="inlineStr">
        <is>
          <t>楽天トラベル</t>
        </is>
      </c>
      <c r="J19" s="73" t="n">
        <v>432000</v>
      </c>
    </row>
    <row r="20" ht="13.5" customHeight="1">
      <c r="D20" s="72" t="n"/>
      <c r="E20" s="99" t="inlineStr">
        <is>
          <t>・・・・</t>
        </is>
      </c>
      <c r="F20" s="99" t="n"/>
      <c r="G20" s="73" t="n"/>
      <c r="I20" s="72" t="inlineStr">
        <is>
          <t>公式サイト</t>
        </is>
      </c>
      <c r="J20" s="73" t="n">
        <v>365000</v>
      </c>
    </row>
    <row r="21" ht="13.5" customHeight="1">
      <c r="D21" s="72" t="n"/>
      <c r="E21" s="72" t="n"/>
      <c r="F21" s="72" t="n"/>
      <c r="G21" s="73" t="n"/>
      <c r="I21" s="72" t="n"/>
      <c r="J21" s="73" t="n"/>
    </row>
    <row r="22" ht="13.5" customHeight="1">
      <c r="D22" s="72" t="n"/>
      <c r="E22" s="72" t="n"/>
      <c r="F22" s="72" t="n"/>
      <c r="G22" s="73" t="n"/>
      <c r="I22" s="72" t="n"/>
      <c r="J22" s="73" t="n"/>
    </row>
    <row r="23" ht="13.5" customHeight="1">
      <c r="D23" s="72" t="n"/>
      <c r="E23" s="72" t="n"/>
      <c r="F23" s="72" t="n"/>
      <c r="G23" s="73" t="n"/>
      <c r="I23" s="72" t="n"/>
      <c r="J23" s="73" t="n"/>
    </row>
    <row r="24" ht="13.5" customHeight="1">
      <c r="D24" s="72" t="n"/>
      <c r="E24" s="72" t="n"/>
      <c r="F24" s="72" t="n"/>
      <c r="G24" s="73" t="n"/>
      <c r="I24" s="72" t="n"/>
      <c r="J24" s="73" t="n"/>
    </row>
    <row r="25" ht="13.5" customHeight="1">
      <c r="D25" s="72" t="n"/>
      <c r="E25" s="72" t="n"/>
      <c r="F25" s="72" t="n"/>
      <c r="G25" s="73" t="n"/>
      <c r="I25" s="72" t="n"/>
      <c r="J25" s="73" t="n"/>
    </row>
    <row r="26" ht="13.5" customHeight="1"/>
    <row r="27" ht="13.5" customHeight="1"/>
    <row r="28" ht="13.5" customHeight="1"/>
    <row r="29" ht="13.5" customHeight="1"/>
    <row r="30" ht="13.5" customHeight="1"/>
    <row r="31" ht="13.5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2026-07-21T03:46:56Z</dcterms:modified>
  <cp:lastModifiedBy>ARTH.inc</cp:lastModifiedBy>
</cp:coreProperties>
</file>