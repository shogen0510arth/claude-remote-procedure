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05" yWindow="-16320" windowWidth="29040" windowHeight="16440" tabRatio="600" firstSheet="0" activeTab="0" autoFilterDateGrouping="1"/>
  </bookViews>
  <sheets>
    <sheet name="2-2_クリーニング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</cellStyleXfs>
  <cellXfs count="189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13" fillId="0" borderId="4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13" fillId="0" borderId="5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13" fillId="0" borderId="6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center" vertical="center"/>
    </xf>
    <xf numFmtId="3" fontId="13" fillId="0" borderId="7" applyAlignment="1" pivotButton="0" quotePrefix="0" xfId="0">
      <alignment horizontal="right" vertical="center"/>
    </xf>
    <xf numFmtId="3" fontId="13" fillId="0" borderId="8" applyAlignment="1" pivotButton="0" quotePrefix="0" xfId="0">
      <alignment horizontal="right" vertical="center"/>
    </xf>
    <xf numFmtId="3" fontId="13" fillId="0" borderId="9" applyAlignment="1" pivotButton="0" quotePrefix="0" xfId="0">
      <alignment horizontal="righ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0" fontId="0" fillId="0" borderId="0" pivotButton="0" quotePrefix="0" xfId="0"/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0" fontId="0" fillId="0" borderId="0" pivotButton="0" quotePrefix="0" xfId="0"/>
    <xf numFmtId="164" fontId="13" fillId="0" borderId="19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</cellXfs>
  <cellStyles count="3">
    <cellStyle name="標準" xfId="0" builtinId="0"/>
    <cellStyle name="桁区切り" xfId="1" builtinId="6"/>
    <cellStyle name="標準 2" xfId="2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3"/>
  <sheetViews>
    <sheetView showGridLines="0" workbookViewId="0">
      <selection activeCell="A1" sqref="A1"/>
    </sheetView>
  </sheetViews>
  <sheetFormatPr baseColWidth="8" defaultRowHeight="13"/>
  <cols>
    <col width="2.36328125" customWidth="1" style="158" min="1" max="3"/>
    <col width="10" customWidth="1" style="158" min="4" max="4"/>
    <col width="22" customWidth="1" style="158" min="5" max="5"/>
    <col width="14" customWidth="1" style="158" min="6" max="6"/>
    <col width="24" customWidth="1" style="158" min="8" max="8"/>
    <col width="14" customWidth="1" style="158" min="9" max="9"/>
  </cols>
  <sheetData>
    <row r="2" ht="19.5" customHeight="1" s="158">
      <c r="B2" s="75" t="inlineStr">
        <is>
          <t>2-2. データ加工・クリーニング ― UNIQUE / FILTER / SORT</t>
        </is>
      </c>
    </row>
    <row r="3" ht="13.5" customHeight="1" s="158"/>
    <row r="4" ht="13.5" customHeight="1" s="158">
      <c r="D4" s="3" t="inlineStr">
        <is>
          <t>元データの予約経路(OTA)には重複があります。動的配列関数でユニークな一覧を作ります。※Excelで開くと自動計算・spillします。</t>
        </is>
      </c>
    </row>
    <row r="5" ht="13.5" customHeight="1" s="158">
      <c r="D5" s="77" t="inlineStr">
        <is>
          <t>① 元データ：予約経路つき明細</t>
        </is>
      </c>
      <c r="E5" s="78" t="n"/>
      <c r="F5" s="78" t="n"/>
      <c r="H5" s="111" t="inlineStr">
        <is>
          <t>② OTAのユニーク一覧</t>
        </is>
      </c>
      <c r="I5" s="78" t="n"/>
    </row>
    <row r="6" ht="13.5" customHeight="1" s="158"/>
    <row r="7" ht="13.5" customHeight="1" s="158">
      <c r="D7" s="168" t="inlineStr">
        <is>
          <t>予約ID</t>
        </is>
      </c>
      <c r="E7" s="168" t="inlineStr">
        <is>
          <t>予約経路(OTA)</t>
        </is>
      </c>
      <c r="F7" s="168" t="inlineStr">
        <is>
          <t>売上(円)</t>
        </is>
      </c>
      <c r="H7" s="168" t="inlineStr">
        <is>
          <t>数式</t>
        </is>
      </c>
    </row>
    <row r="8" ht="13.5" customHeight="1" s="158">
      <c r="D8" s="80" t="inlineStr">
        <is>
          <t>R001</t>
        </is>
      </c>
      <c r="E8" s="80" t="inlineStr">
        <is>
          <t>楽天トラベル</t>
        </is>
      </c>
      <c r="F8" s="81" t="n">
        <v>160000</v>
      </c>
      <c r="H8" s="112" t="inlineStr">
        <is>
          <t>=SORT(UNIQUE(...))</t>
        </is>
      </c>
    </row>
    <row r="9" ht="13.5" customHeight="1" s="158">
      <c r="D9" s="83" t="inlineStr">
        <is>
          <t>R002</t>
        </is>
      </c>
      <c r="E9" s="83" t="inlineStr">
        <is>
          <t>じゃらん</t>
        </is>
      </c>
      <c r="F9" s="84" t="n">
        <v>108000</v>
      </c>
      <c r="H9" s="3" t="inlineStr">
        <is>
          <t>↑ このセルに1つ入れるだけで、</t>
        </is>
      </c>
    </row>
    <row r="10" ht="13.5" customHeight="1" s="158">
      <c r="D10" s="83" t="inlineStr">
        <is>
          <t>R003</t>
        </is>
      </c>
      <c r="E10" s="83" t="inlineStr">
        <is>
          <t>Booking.com</t>
        </is>
      </c>
      <c r="F10" s="84" t="n">
        <v>72000</v>
      </c>
      <c r="H10" s="3" t="inlineStr">
        <is>
          <t>重複を除いた経路名が下方向にスピル表示されます。</t>
        </is>
      </c>
    </row>
    <row r="11" ht="13.5" customHeight="1" s="158">
      <c r="D11" s="83" t="inlineStr">
        <is>
          <t>R004</t>
        </is>
      </c>
      <c r="E11" s="83" t="inlineStr">
        <is>
          <t>楽天トラベル</t>
        </is>
      </c>
      <c r="F11" s="84" t="n">
        <v>180000</v>
      </c>
    </row>
    <row r="12" ht="13.5" customHeight="1" s="158">
      <c r="D12" s="83" t="inlineStr">
        <is>
          <t>R005</t>
        </is>
      </c>
      <c r="E12" s="83" t="inlineStr">
        <is>
          <t>公式サイト</t>
        </is>
      </c>
      <c r="F12" s="84" t="n">
        <v>95000</v>
      </c>
    </row>
    <row r="13" ht="13.5" customHeight="1" s="158">
      <c r="D13" s="83" t="inlineStr">
        <is>
          <t>R006</t>
        </is>
      </c>
      <c r="E13" s="83" t="inlineStr">
        <is>
          <t>じゃらん</t>
        </is>
      </c>
      <c r="F13" s="84" t="n">
        <v>36000</v>
      </c>
    </row>
    <row r="14" ht="13.5" customHeight="1" s="158">
      <c r="D14" s="83" t="inlineStr">
        <is>
          <t>R007</t>
        </is>
      </c>
      <c r="E14" s="83" t="inlineStr">
        <is>
          <t>Expedia</t>
        </is>
      </c>
      <c r="F14" s="84" t="n">
        <v>152000</v>
      </c>
    </row>
    <row r="15" ht="13.5" customHeight="1" s="158">
      <c r="D15" s="83" t="inlineStr">
        <is>
          <t>R008</t>
        </is>
      </c>
      <c r="E15" s="83" t="inlineStr">
        <is>
          <t>Booking.com</t>
        </is>
      </c>
      <c r="F15" s="84" t="n">
        <v>74000</v>
      </c>
    </row>
    <row r="16" ht="13.5" customHeight="1" s="158">
      <c r="D16" s="83" t="inlineStr">
        <is>
          <t>R009</t>
        </is>
      </c>
      <c r="E16" s="83" t="inlineStr">
        <is>
          <t>楽天トラベル</t>
        </is>
      </c>
      <c r="F16" s="84" t="n">
        <v>92000</v>
      </c>
    </row>
    <row r="17" ht="13.5" customHeight="1" s="158">
      <c r="D17" s="83" t="inlineStr">
        <is>
          <t>R010</t>
        </is>
      </c>
      <c r="E17" s="83" t="inlineStr">
        <is>
          <t>公式サイト</t>
        </is>
      </c>
      <c r="F17" s="84" t="n">
        <v>270000</v>
      </c>
    </row>
    <row r="18" ht="13.5" customHeight="1" s="158">
      <c r="D18" s="83" t="inlineStr">
        <is>
          <t>R011</t>
        </is>
      </c>
      <c r="E18" s="83" t="inlineStr">
        <is>
          <t>一休.com</t>
        </is>
      </c>
      <c r="F18" s="84" t="n">
        <v>210000</v>
      </c>
    </row>
    <row r="19" ht="13.5" customHeight="1" s="158">
      <c r="D19" s="83" t="inlineStr">
        <is>
          <t>R012</t>
        </is>
      </c>
      <c r="E19" s="83" t="inlineStr">
        <is>
          <t>じゃらん</t>
        </is>
      </c>
      <c r="F19" s="84" t="n">
        <v>64000</v>
      </c>
    </row>
    <row r="20" ht="13.5" customHeight="1" s="158">
      <c r="D20" s="83" t="n"/>
      <c r="E20" s="113" t="inlineStr">
        <is>
          <t>・・・・</t>
        </is>
      </c>
      <c r="F20" s="84" t="n"/>
    </row>
    <row r="21" ht="13.5" customHeight="1" s="158">
      <c r="D21" s="83" t="n"/>
      <c r="E21" s="83" t="n"/>
      <c r="F21" s="84" t="n"/>
    </row>
    <row r="22" ht="13.5" customHeight="1" s="158">
      <c r="H22" s="111" t="inlineStr">
        <is>
          <t>③ 実例：OTA別の売上集計と FILTER 抽出</t>
        </is>
      </c>
      <c r="I22" s="78" t="n"/>
    </row>
    <row r="23" ht="13.5" customHeight="1" s="158"/>
    <row r="24" ht="13.5" customHeight="1" s="158">
      <c r="H24" s="168" t="inlineStr">
        <is>
          <t>OTA</t>
        </is>
      </c>
      <c r="I24" s="168" t="inlineStr">
        <is>
          <t>売上計(円)</t>
        </is>
      </c>
    </row>
    <row r="25" ht="13.5" customHeight="1" s="158">
      <c r="H25" s="80">
        <f t="array" ref="H25:H30">_xlfn._xlws.SORT(_xlfn.UNIQUE(E8:E19))</f>
        <v/>
      </c>
      <c r="I25" s="81">
        <f t="array" ref="I25:I30">SUMIFS($F$8:$F$19,$E$8:$E$19,_xlfn.ANCHORARRAY(H25))</f>
        <v/>
      </c>
    </row>
    <row r="26" ht="13.5" customHeight="1" s="158">
      <c r="H26" s="83" t="inlineStr">
        <is>
          <t>Expedia</t>
        </is>
      </c>
      <c r="I26" s="84" t="n">
        <v>152000</v>
      </c>
    </row>
    <row r="27" ht="13.5" customHeight="1" s="158">
      <c r="H27" s="83" t="inlineStr">
        <is>
          <t>じゃらん</t>
        </is>
      </c>
      <c r="I27" s="84" t="n">
        <v>208000</v>
      </c>
    </row>
    <row r="28" ht="13.5" customHeight="1" s="158">
      <c r="H28" s="83" t="inlineStr">
        <is>
          <t>一休.com</t>
        </is>
      </c>
      <c r="I28" s="84" t="n">
        <v>210000</v>
      </c>
    </row>
    <row r="29" ht="13.5" customHeight="1" s="158">
      <c r="H29" s="83" t="inlineStr">
        <is>
          <t>楽天トラベル</t>
        </is>
      </c>
      <c r="I29" s="84" t="n">
        <v>432000</v>
      </c>
    </row>
    <row r="30" ht="13.5" customHeight="1" s="158">
      <c r="H30" s="83" t="inlineStr">
        <is>
          <t>公式サイト</t>
        </is>
      </c>
      <c r="I30" s="84" t="n">
        <v>365000</v>
      </c>
    </row>
    <row r="31" ht="13.5" customHeight="1" s="158">
      <c r="H31" s="83" t="n"/>
      <c r="I31" s="84" t="n"/>
    </row>
    <row r="32" ht="13.5" customHeight="1" s="158">
      <c r="H32" s="83" t="n"/>
      <c r="I32" s="84" t="n"/>
    </row>
    <row r="33" ht="13.5" customHeight="1" s="158">
      <c r="H33" s="83" t="n"/>
      <c r="I33" s="8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2026-07-21T02:30:59Z</dcterms:modified>
  <cp:lastModifiedBy>ARTH.inc</cp:lastModifiedBy>
</cp:coreProperties>
</file>