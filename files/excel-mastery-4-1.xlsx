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6320" windowWidth="29040" windowHeight="16440" tabRatio="600" firstSheet="0" activeTab="0" autoFilterDateGrouping="1"/>
  </bookViews>
  <sheets>
    <sheet name="4-1_チェックセル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19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D12" sqref="D12"/>
    </sheetView>
  </sheetViews>
  <sheetFormatPr baseColWidth="8" defaultRowHeight="13"/>
  <cols>
    <col width="2.36328125" customWidth="1" min="1" max="3"/>
    <col width="32" customWidth="1" min="4" max="4"/>
    <col width="16" customWidth="1" min="5" max="6"/>
    <col width="14" customWidth="1" min="7" max="7"/>
    <col width="10" customWidth="1" min="8" max="8"/>
  </cols>
  <sheetData>
    <row r="2" ht="19.5" customHeight="1">
      <c r="B2" s="64" t="inlineStr">
        <is>
          <t>4-1. チェックセルを設ける</t>
        </is>
      </c>
    </row>
    <row r="3" ht="13.5" customHeight="1"/>
    <row r="4" ht="13.5" customHeight="1">
      <c r="D4" s="3" t="inlineStr">
        <is>
          <t>「別ルートで出した2つの値が一致するか」を機械的に判定。1つでも要確認なら全体を疑う。</t>
        </is>
      </c>
    </row>
    <row r="5" ht="13.5" customHeight="1">
      <c r="D5" s="66" t="inlineStr">
        <is>
          <t>一致チェック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チェック項目</t>
        </is>
      </c>
      <c r="E7" s="68" t="inlineStr">
        <is>
          <t>値A</t>
        </is>
      </c>
      <c r="F7" s="68" t="inlineStr">
        <is>
          <t>値B</t>
        </is>
      </c>
      <c r="G7" s="68" t="inlineStr">
        <is>
          <t>差(A−B)</t>
        </is>
      </c>
      <c r="H7" s="68" t="inlineStr">
        <is>
          <t>判定</t>
        </is>
      </c>
    </row>
    <row r="8" ht="13.5" customHeight="1">
      <c r="D8" s="69" t="inlineStr">
        <is>
          <t>月次合計 = 年次合計</t>
        </is>
      </c>
      <c r="E8" s="70" t="n">
        <v>84000000</v>
      </c>
      <c r="F8" s="70" t="n">
        <v>84000000</v>
      </c>
      <c r="G8" s="191">
        <f>E8-F8</f>
        <v/>
      </c>
      <c r="H8" s="87">
        <f>IF(ABS(G8)&lt;1,"OK","要確認")</f>
        <v/>
      </c>
    </row>
    <row r="9" ht="13.5" customHeight="1">
      <c r="D9" s="72" t="inlineStr">
        <is>
          <t>部門別売上合計 = 全社売上</t>
        </is>
      </c>
      <c r="E9" s="73" t="n">
        <v>84000000</v>
      </c>
      <c r="F9" s="73" t="n">
        <v>84000000</v>
      </c>
      <c r="G9" s="192">
        <f>E9-F9</f>
        <v/>
      </c>
      <c r="H9" s="88">
        <f>IF(ABS(G9)&lt;1,"OK","要確認")</f>
        <v/>
      </c>
    </row>
    <row r="10" ht="13.5" customHeight="1">
      <c r="D10" s="72" t="inlineStr">
        <is>
          <t>元データ件数 = 集計後件数</t>
        </is>
      </c>
      <c r="E10" s="90" t="n">
        <v>1200</v>
      </c>
      <c r="F10" s="90" t="n">
        <v>1200</v>
      </c>
      <c r="G10" s="192">
        <f>E10-F10</f>
        <v/>
      </c>
      <c r="H10" s="88">
        <f>IF(ABS(G10)&lt;1,"OK","要確認")</f>
        <v/>
      </c>
    </row>
    <row r="11" ht="13.5" customHeight="1">
      <c r="D11" s="72" t="inlineStr">
        <is>
          <t>税抜×1.1 = 税込</t>
        </is>
      </c>
      <c r="E11" s="73" t="n">
        <v>92400000</v>
      </c>
      <c r="F11" s="73" t="n">
        <v>92400000</v>
      </c>
      <c r="G11" s="192">
        <f>E11-F11</f>
        <v/>
      </c>
      <c r="H11" s="88">
        <f>IF(ABS(G11)&lt;1,"OK","要確認")</f>
        <v/>
      </c>
    </row>
    <row r="12" ht="13.5" customHeight="1">
      <c r="D12" s="72" t="inlineStr">
        <is>
          <t>構成比の合計 = 100%</t>
        </is>
      </c>
      <c r="E12" s="193" t="n">
        <v>1</v>
      </c>
      <c r="F12" s="193" t="n">
        <v>0.99834336</v>
      </c>
      <c r="G12" s="192">
        <f>E12-F12</f>
        <v/>
      </c>
      <c r="H12" s="88">
        <f>IF(ABS(G12)&lt;0.0001,"OK","要確認")</f>
        <v/>
      </c>
    </row>
    <row r="13" ht="13.5" customHeight="1"/>
    <row r="14" ht="13.5" customHeight="1">
      <c r="D14" s="65" t="n"/>
    </row>
    <row r="15" ht="13.5" customHeight="1"/>
  </sheetData>
  <conditionalFormatting sqref="H8:H12">
    <cfRule type="cellIs" priority="1" operator="equal" dxfId="1">
      <formula>"OK"</formula>
    </cfRule>
    <cfRule type="cellIs" priority="2" operator="equal" dxfId="0">
      <formula>"要確認"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2026-07-21T03:37:37Z</dcterms:modified>
  <cp:lastModifiedBy>ARTH.inc</cp:lastModifiedBy>
</cp:coreProperties>
</file>