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280" windowWidth="17320" windowHeight="10400" tabRatio="773" firstSheet="2" activeTab="0" autoFilterDateGrouping="1"/>
  </bookViews>
  <sheets>
    <sheet name="00_Index" sheetId="1" state="visible" r:id="rId1"/>
    <sheet name="01_Assumption" sheetId="2" state="visible" r:id="rId2"/>
    <sheet name="02_RawData" sheetId="3" state="visible" r:id="rId3"/>
    <sheet name="03_Master" sheetId="4" state="visible" r:id="rId4"/>
    <sheet name="04_Calculation" sheetId="5" state="visible" r:id="rId5"/>
    <sheet name="05_Output" sheetId="6" state="visible" r:id="rId6"/>
    <sheet name="06_Check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%"/>
    <numFmt numFmtId="166" formatCode="0.0"/>
    <numFmt numFmtId="167" formatCode="#,##0%;[Red]\-#,##0%"/>
    <numFmt numFmtId="168" formatCode="#,##0.00000"/>
    <numFmt numFmtId="169" formatCode="#,##0.0%;[Red]\-#,##0.0%"/>
    <numFmt numFmtId="170" formatCode="0.000"/>
  </numFmts>
  <fonts count="29">
    <font>
      <name val="ＭＳ Ｐゴシック"/>
      <family val="2"/>
      <color theme="1"/>
      <sz val="11"/>
      <scheme val="minor"/>
    </font>
    <font>
      <name val="Meiryo UI"/>
      <charset val="128"/>
      <family val="2"/>
      <color theme="1"/>
      <sz val="11"/>
    </font>
    <font>
      <name val="Meiryo UI"/>
      <charset val="128"/>
      <family val="3"/>
      <b val="1"/>
      <color rgb="FF002060"/>
      <sz val="14"/>
    </font>
    <font>
      <name val="Meiryo UI"/>
      <charset val="128"/>
      <family val="3"/>
      <color rgb="FF666666"/>
      <sz val="9"/>
    </font>
    <font>
      <name val="Meiryo UI"/>
      <charset val="128"/>
      <family val="3"/>
      <b val="1"/>
      <color rgb="FF1F3A4D"/>
      <sz val="10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000000"/>
      <sz val="10"/>
    </font>
    <font>
      <name val="Meiryo UI"/>
      <charset val="128"/>
      <family val="3"/>
      <color rgb="FFFF0000"/>
      <sz val="9"/>
    </font>
    <font>
      <name val="Meiryo UI"/>
      <charset val="128"/>
      <family val="3"/>
      <b val="1"/>
      <color rgb="FFFF0000"/>
      <sz val="10"/>
    </font>
    <font>
      <name val="Meiryo UI"/>
      <charset val="128"/>
      <family val="3"/>
      <color rgb="FF0000FF"/>
      <sz val="10"/>
    </font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indexed="8"/>
      <sz val="10"/>
    </font>
    <font>
      <name val="Meiryo UI"/>
      <charset val="128"/>
      <family val="3"/>
      <color indexed="8"/>
      <sz val="10"/>
    </font>
    <font>
      <name val="ＭＳ Ｐゴシック"/>
      <family val="2"/>
      <color rgb="FFFFFFFF"/>
      <sz val="11"/>
      <scheme val="minor"/>
    </font>
    <font>
      <name val="ＭＳ Ｐゴシック"/>
      <family val="2"/>
      <color indexed="8"/>
      <sz val="11"/>
      <scheme val="minor"/>
    </font>
    <font>
      <name val="Meiryo UI"/>
      <charset val="128"/>
      <family val="3"/>
      <color rgb="FF008000"/>
      <sz val="10"/>
    </font>
    <font>
      <name val="Meiryo UI"/>
      <charset val="128"/>
      <family val="3"/>
      <b val="1"/>
      <color rgb="FF000000"/>
      <sz val="10"/>
    </font>
    <font>
      <name val="Meiryo UI"/>
      <charset val="128"/>
      <family val="3"/>
      <b val="1"/>
      <color rgb="FF002060"/>
      <sz val="14"/>
    </font>
    <font>
      <name val="Meiryo UI"/>
      <charset val="128"/>
      <family val="3"/>
      <color rgb="FF808080"/>
      <sz val="9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FFFFFF"/>
      <sz val="10"/>
    </font>
    <font>
      <name val="Meiryo UI"/>
      <charset val="128"/>
      <family val="3"/>
      <color rgb="FF000000"/>
      <sz val="10"/>
    </font>
    <font>
      <name val="Meiryo UI"/>
      <charset val="128"/>
      <family val="3"/>
      <color rgb="FF0000FF"/>
      <sz val="10"/>
    </font>
    <font>
      <name val="Meiryo UI"/>
      <charset val="128"/>
      <family val="3"/>
      <color rgb="FF008000"/>
      <sz val="10"/>
    </font>
    <font>
      <name val="Meiryo UI"/>
      <charset val="128"/>
      <family val="3"/>
      <b val="1"/>
      <color rgb="FF000000"/>
      <sz val="10"/>
    </font>
    <font>
      <name val="Meiryo UI"/>
      <charset val="128"/>
      <family val="3"/>
      <b val="1"/>
      <color rgb="FFFF0000"/>
      <sz val="10"/>
    </font>
    <font>
      <name val="Meiryo UI"/>
      <charset val="128"/>
      <family val="3"/>
      <color rgb="FFFF0000"/>
      <sz val="10"/>
    </font>
    <font>
      <name val="Meiryo UI"/>
      <charset val="128"/>
      <family val="3"/>
      <i val="1"/>
      <color rgb="FF808080"/>
      <sz val="10"/>
    </font>
  </fonts>
  <fills count="7">
    <fill>
      <patternFill/>
    </fill>
    <fill>
      <patternFill patternType="gray125"/>
    </fill>
    <fill>
      <patternFill patternType="solid">
        <fgColor rgb="FF1F3F51"/>
      </patternFill>
    </fill>
    <fill>
      <patternFill patternType="solid">
        <fgColor rgb="FFCCFFFF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1F3F5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10" fillId="0" borderId="0"/>
    <xf numFmtId="38" fontId="10" fillId="0" borderId="0" applyAlignment="1">
      <alignment vertical="center"/>
    </xf>
    <xf numFmtId="0" fontId="1" fillId="0" borderId="0" applyAlignment="1">
      <alignment vertical="center"/>
    </xf>
    <xf numFmtId="9" fontId="10" fillId="0" borderId="0" applyAlignment="1">
      <alignment vertical="center"/>
    </xf>
  </cellStyleXfs>
  <cellXfs count="203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3" fontId="6" fillId="0" borderId="7" applyAlignment="1" pivotButton="0" quotePrefix="0" xfId="0">
      <alignment horizontal="right" vertical="center"/>
    </xf>
    <xf numFmtId="3" fontId="6" fillId="0" borderId="8" applyAlignment="1" pivotButton="0" quotePrefix="0" xfId="0">
      <alignment horizontal="right" vertical="center"/>
    </xf>
    <xf numFmtId="3" fontId="6" fillId="0" borderId="9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/>
    </xf>
    <xf numFmtId="0" fontId="14" fillId="6" borderId="0" pivotButton="0" quotePrefix="0" xfId="0"/>
    <xf numFmtId="0" fontId="8" fillId="4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10" fontId="13" fillId="0" borderId="1" applyAlignment="1" pivotButton="0" quotePrefix="0" xfId="0">
      <alignment vertical="center"/>
    </xf>
    <xf numFmtId="164" fontId="13" fillId="0" borderId="1" applyAlignment="1" pivotButton="0" quotePrefix="0" xfId="0">
      <alignment vertical="center"/>
    </xf>
    <xf numFmtId="3" fontId="13" fillId="0" borderId="1" applyAlignment="1" pivotButton="0" quotePrefix="0" xfId="0">
      <alignment vertical="center"/>
    </xf>
    <xf numFmtId="2" fontId="13" fillId="0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3" fontId="6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Continuous" vertical="center"/>
    </xf>
    <xf numFmtId="0" fontId="15" fillId="0" borderId="0" pivotButton="0" quotePrefix="0" xfId="0"/>
    <xf numFmtId="0" fontId="6" fillId="5" borderId="4" applyAlignment="1" pivotButton="0" quotePrefix="0" xfId="0">
      <alignment horizontal="left" vertical="center"/>
    </xf>
    <xf numFmtId="3" fontId="6" fillId="5" borderId="7" applyAlignment="1" pivotButton="0" quotePrefix="0" xfId="0">
      <alignment horizontal="right" vertical="center"/>
    </xf>
    <xf numFmtId="0" fontId="6" fillId="5" borderId="5" applyAlignment="1" pivotButton="0" quotePrefix="0" xfId="0">
      <alignment horizontal="left" vertical="center"/>
    </xf>
    <xf numFmtId="3" fontId="6" fillId="5" borderId="8" applyAlignment="1" pivotButton="0" quotePrefix="0" xfId="0">
      <alignment horizontal="right" vertical="center"/>
    </xf>
    <xf numFmtId="0" fontId="6" fillId="5" borderId="6" applyAlignment="1" pivotButton="0" quotePrefix="0" xfId="0">
      <alignment horizontal="left" vertical="center"/>
    </xf>
    <xf numFmtId="3" fontId="6" fillId="5" borderId="9" applyAlignment="1" pivotButton="0" quotePrefix="0" xfId="0">
      <alignment horizontal="right" vertical="center"/>
    </xf>
    <xf numFmtId="0" fontId="13" fillId="5" borderId="0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3" fontId="9" fillId="0" borderId="7" applyAlignment="1" pivotButton="0" quotePrefix="0" xfId="0">
      <alignment horizontal="right" vertical="center"/>
    </xf>
    <xf numFmtId="3" fontId="9" fillId="0" borderId="4" applyAlignment="1" pivotButton="0" quotePrefix="0" xfId="0">
      <alignment horizontal="right" vertical="center"/>
    </xf>
    <xf numFmtId="3" fontId="9" fillId="0" borderId="8" applyAlignment="1" pivotButton="0" quotePrefix="0" xfId="0">
      <alignment horizontal="right" vertical="center"/>
    </xf>
    <xf numFmtId="3" fontId="9" fillId="0" borderId="5" applyAlignment="1" pivotButton="0" quotePrefix="0" xfId="0">
      <alignment horizontal="right" vertical="center"/>
    </xf>
    <xf numFmtId="3" fontId="9" fillId="0" borderId="9" applyAlignment="1" pivotButton="0" quotePrefix="0" xfId="0">
      <alignment horizontal="right" vertical="center"/>
    </xf>
    <xf numFmtId="3" fontId="9" fillId="0" borderId="6" applyAlignment="1" pivotButton="0" quotePrefix="0" xfId="0">
      <alignment horizontal="right" vertical="center"/>
    </xf>
    <xf numFmtId="165" fontId="9" fillId="0" borderId="7" applyAlignment="1" pivotButton="0" quotePrefix="0" xfId="0">
      <alignment horizontal="right" vertical="center"/>
    </xf>
    <xf numFmtId="165" fontId="9" fillId="0" borderId="8" applyAlignment="1" pivotButton="0" quotePrefix="0" xfId="0">
      <alignment horizontal="right" vertical="center"/>
    </xf>
    <xf numFmtId="165" fontId="9" fillId="0" borderId="9" applyAlignment="1" pivotButton="0" quotePrefix="0" xfId="0">
      <alignment horizontal="right" vertical="center"/>
    </xf>
    <xf numFmtId="3" fontId="6" fillId="5" borderId="4" applyAlignment="1" pivotButton="0" quotePrefix="0" xfId="0">
      <alignment horizontal="right" vertical="center"/>
    </xf>
    <xf numFmtId="3" fontId="6" fillId="5" borderId="5" applyAlignment="1" pivotButton="0" quotePrefix="0" xfId="0">
      <alignment horizontal="right" vertical="center"/>
    </xf>
    <xf numFmtId="3" fontId="6" fillId="5" borderId="6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/>
    </xf>
    <xf numFmtId="0" fontId="13" fillId="0" borderId="4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38" fontId="13" fillId="0" borderId="4" applyAlignment="1" pivotButton="0" quotePrefix="0" xfId="1">
      <alignment vertical="center"/>
    </xf>
    <xf numFmtId="38" fontId="13" fillId="0" borderId="6" applyAlignment="1" pivotButton="0" quotePrefix="0" xfId="1">
      <alignment vertical="center"/>
    </xf>
    <xf numFmtId="38" fontId="13" fillId="0" borderId="7" applyAlignment="1" pivotButton="0" quotePrefix="0" xfId="1">
      <alignment vertical="center"/>
    </xf>
    <xf numFmtId="38" fontId="13" fillId="0" borderId="9" applyAlignment="1" pivotButton="0" quotePrefix="0" xfId="1">
      <alignment vertical="center"/>
    </xf>
    <xf numFmtId="38" fontId="13" fillId="0" borderId="2" applyAlignment="1" pivotButton="0" quotePrefix="0" xfId="1">
      <alignment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2" fillId="0" borderId="14" applyAlignment="1" pivotButton="0" quotePrefix="0" xfId="0">
      <alignment horizontal="left" vertical="center"/>
    </xf>
    <xf numFmtId="3" fontId="22" fillId="0" borderId="14" applyAlignment="1" pivotButton="0" quotePrefix="0" xfId="0">
      <alignment horizontal="right" vertical="center"/>
    </xf>
    <xf numFmtId="0" fontId="22" fillId="0" borderId="17" applyAlignment="1" pivotButton="0" quotePrefix="0" xfId="0">
      <alignment horizontal="left" vertical="center"/>
    </xf>
    <xf numFmtId="0" fontId="22" fillId="0" borderId="15" applyAlignment="1" pivotButton="0" quotePrefix="0" xfId="0">
      <alignment horizontal="left" vertical="center"/>
    </xf>
    <xf numFmtId="3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left" vertical="center"/>
    </xf>
    <xf numFmtId="3" fontId="22" fillId="0" borderId="16" applyAlignment="1" pivotButton="0" quotePrefix="0" xfId="0">
      <alignment horizontal="right" vertical="center"/>
    </xf>
    <xf numFmtId="3" fontId="23" fillId="3" borderId="14" applyAlignment="1" pivotButton="0" quotePrefix="0" xfId="0">
      <alignment horizontal="right" vertical="center"/>
    </xf>
    <xf numFmtId="0" fontId="22" fillId="0" borderId="14" applyAlignment="1" pivotButton="0" quotePrefix="0" xfId="0">
      <alignment horizontal="center" vertical="center"/>
    </xf>
    <xf numFmtId="3" fontId="23" fillId="3" borderId="15" applyAlignment="1" pivotButton="0" quotePrefix="0" xfId="0">
      <alignment horizontal="right" vertical="center"/>
    </xf>
    <xf numFmtId="0" fontId="22" fillId="0" borderId="15" applyAlignment="1" pivotButton="0" quotePrefix="0" xfId="0">
      <alignment horizontal="center" vertical="center"/>
    </xf>
    <xf numFmtId="165" fontId="23" fillId="3" borderId="15" applyAlignment="1" pivotButton="0" quotePrefix="0" xfId="0">
      <alignment horizontal="right" vertical="center"/>
    </xf>
    <xf numFmtId="166" fontId="23" fillId="3" borderId="15" applyAlignment="1" pivotButton="0" quotePrefix="0" xfId="0">
      <alignment horizontal="right" vertical="center"/>
    </xf>
    <xf numFmtId="3" fontId="23" fillId="3" borderId="16" applyAlignment="1" pivotButton="0" quotePrefix="0" xfId="0">
      <alignment horizontal="right" vertical="center"/>
    </xf>
    <xf numFmtId="0" fontId="22" fillId="0" borderId="16" applyAlignment="1" pivotButton="0" quotePrefix="0" xfId="0">
      <alignment horizontal="center" vertical="center"/>
    </xf>
    <xf numFmtId="165" fontId="23" fillId="3" borderId="14" applyAlignment="1" pivotButton="0" quotePrefix="0" xfId="0">
      <alignment horizontal="right" vertical="center"/>
    </xf>
    <xf numFmtId="3" fontId="24" fillId="0" borderId="14" applyAlignment="1" pivotButton="0" quotePrefix="0" xfId="0">
      <alignment horizontal="right" vertical="center"/>
    </xf>
    <xf numFmtId="165" fontId="22" fillId="0" borderId="15" applyAlignment="1" pivotButton="0" quotePrefix="0" xfId="0">
      <alignment horizontal="right" vertical="center"/>
    </xf>
    <xf numFmtId="0" fontId="25" fillId="0" borderId="14" applyAlignment="1" pivotButton="0" quotePrefix="0" xfId="0">
      <alignment horizontal="center" vertical="center"/>
    </xf>
    <xf numFmtId="0" fontId="25" fillId="0" borderId="15" applyAlignment="1" pivotButton="0" quotePrefix="0" xfId="0">
      <alignment horizontal="center" vertical="center"/>
    </xf>
    <xf numFmtId="0" fontId="25" fillId="0" borderId="16" applyAlignment="1" pivotButton="0" quotePrefix="0" xfId="0">
      <alignment horizontal="center" vertical="center"/>
    </xf>
    <xf numFmtId="1" fontId="22" fillId="0" borderId="15" applyAlignment="1" pivotButton="0" quotePrefix="0" xfId="0">
      <alignment horizontal="right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left" vertical="center"/>
    </xf>
    <xf numFmtId="0" fontId="26" fillId="0" borderId="15" applyAlignment="1" pivotButton="0" quotePrefix="0" xfId="0">
      <alignment horizontal="center" vertical="center"/>
    </xf>
    <xf numFmtId="0" fontId="27" fillId="0" borderId="15" applyAlignment="1" pivotButton="0" quotePrefix="0" xfId="0">
      <alignment horizontal="left" vertical="center"/>
    </xf>
    <xf numFmtId="0" fontId="26" fillId="0" borderId="16" applyAlignment="1" pivotButton="0" quotePrefix="0" xfId="0">
      <alignment horizontal="center" vertical="center"/>
    </xf>
    <xf numFmtId="0" fontId="27" fillId="0" borderId="16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0" borderId="17" applyAlignment="1" pivotButton="0" quotePrefix="1" xfId="0">
      <alignment horizontal="left" vertical="center"/>
    </xf>
    <xf numFmtId="0" fontId="6" fillId="0" borderId="15" applyAlignment="1" pivotButton="0" quotePrefix="0" xfId="0">
      <alignment horizontal="left" vertical="center"/>
    </xf>
    <xf numFmtId="3" fontId="16" fillId="0" borderId="14" applyAlignment="1" pivotButton="0" quotePrefix="0" xfId="0">
      <alignment horizontal="right" vertical="center"/>
    </xf>
    <xf numFmtId="0" fontId="13" fillId="0" borderId="14" applyAlignment="1" pivotButton="0" quotePrefix="0" xfId="0">
      <alignment horizontal="left" vertical="center"/>
    </xf>
    <xf numFmtId="0" fontId="6" fillId="0" borderId="14" applyAlignment="1" pivotButton="0" quotePrefix="0" xfId="0">
      <alignment horizontal="left" vertical="center"/>
    </xf>
    <xf numFmtId="167" fontId="16" fillId="0" borderId="0" applyAlignment="1" pivotButton="0" quotePrefix="0" xfId="0">
      <alignment horizontal="right" vertical="center"/>
    </xf>
    <xf numFmtId="0" fontId="13" fillId="0" borderId="15" applyAlignment="1" pivotButton="0" quotePrefix="0" xfId="0">
      <alignment horizontal="left" vertical="center"/>
    </xf>
    <xf numFmtId="3" fontId="16" fillId="0" borderId="15" applyAlignment="1" pivotButton="0" quotePrefix="0" xfId="0">
      <alignment horizontal="right" vertical="center"/>
    </xf>
    <xf numFmtId="0" fontId="13" fillId="0" borderId="20" applyAlignment="1" pivotButton="0" quotePrefix="0" xfId="0">
      <alignment horizontal="left" vertical="center"/>
    </xf>
    <xf numFmtId="167" fontId="16" fillId="0" borderId="20" applyAlignment="1" pivotButton="0" quotePrefix="0" xfId="0">
      <alignment horizontal="right" vertical="center"/>
    </xf>
    <xf numFmtId="3" fontId="24" fillId="0" borderId="20" applyAlignment="1" pivotButton="0" quotePrefix="0" xfId="0">
      <alignment horizontal="right" vertical="center"/>
    </xf>
    <xf numFmtId="0" fontId="22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right" vertical="center"/>
    </xf>
    <xf numFmtId="0" fontId="22" fillId="0" borderId="18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17" applyAlignment="1" pivotButton="0" quotePrefix="0" xfId="0">
      <alignment horizontal="left" vertical="center"/>
    </xf>
    <xf numFmtId="3" fontId="24" fillId="0" borderId="17" applyAlignment="1" pivotButton="0" quotePrefix="0" xfId="0">
      <alignment horizontal="right" vertical="center"/>
    </xf>
    <xf numFmtId="0" fontId="6" fillId="0" borderId="16" applyAlignment="1" pivotButton="0" quotePrefix="0" xfId="0">
      <alignment horizontal="left" vertical="center"/>
    </xf>
    <xf numFmtId="3" fontId="24" fillId="0" borderId="16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3" fontId="13" fillId="0" borderId="0" applyAlignment="1" pivotButton="0" quotePrefix="0" xfId="0">
      <alignment horizontal="right" vertical="center"/>
    </xf>
    <xf numFmtId="164" fontId="13" fillId="0" borderId="19" applyAlignment="1" pivotButton="0" quotePrefix="0" xfId="0">
      <alignment horizontal="right" vertical="center"/>
    </xf>
    <xf numFmtId="164" fontId="24" fillId="0" borderId="14" applyAlignment="1" pivotButton="0" quotePrefix="0" xfId="0">
      <alignment horizontal="right" vertical="center"/>
    </xf>
    <xf numFmtId="0" fontId="22" fillId="0" borderId="20" applyAlignment="1" pivotButton="0" quotePrefix="0" xfId="0">
      <alignment horizontal="left" vertical="center"/>
    </xf>
    <xf numFmtId="3" fontId="22" fillId="0" borderId="0" applyAlignment="1" pivotButton="0" quotePrefix="0" xfId="0">
      <alignment horizontal="right" vertical="center"/>
    </xf>
    <xf numFmtId="3" fontId="13" fillId="0" borderId="18" applyAlignment="1" pivotButton="0" quotePrefix="0" xfId="0">
      <alignment horizontal="right" vertical="center"/>
    </xf>
    <xf numFmtId="3" fontId="16" fillId="0" borderId="16" applyAlignment="1" pivotButton="0" quotePrefix="0" xfId="0">
      <alignment horizontal="right" vertical="center"/>
    </xf>
    <xf numFmtId="0" fontId="17" fillId="4" borderId="2" applyAlignment="1" pivotButton="0" quotePrefix="0" xfId="0">
      <alignment horizontal="left" vertical="center"/>
    </xf>
    <xf numFmtId="3" fontId="25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0" fontId="17" fillId="4" borderId="18" applyAlignment="1" pivotButton="0" quotePrefix="0" xfId="0">
      <alignment horizontal="left" vertical="center"/>
    </xf>
    <xf numFmtId="3" fontId="17" fillId="4" borderId="18" applyAlignment="1" pivotButton="0" quotePrefix="0" xfId="0">
      <alignment horizontal="right" vertical="center"/>
    </xf>
    <xf numFmtId="0" fontId="22" fillId="4" borderId="18" applyAlignment="1" pivotButton="0" quotePrefix="0" xfId="0">
      <alignment horizontal="left" vertical="center"/>
    </xf>
    <xf numFmtId="3" fontId="17" fillId="4" borderId="2" applyAlignment="1" pivotButton="0" quotePrefix="0" xfId="0">
      <alignment horizontal="right" vertical="center"/>
    </xf>
    <xf numFmtId="0" fontId="22" fillId="4" borderId="2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  <xf numFmtId="3" fontId="12" fillId="4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4" fontId="13" fillId="0" borderId="2" applyAlignment="1" pivotButton="0" quotePrefix="0" xfId="0">
      <alignment horizontal="right" vertical="center"/>
    </xf>
    <xf numFmtId="165" fontId="22" fillId="0" borderId="2" applyAlignment="1" pivotButton="0" quotePrefix="0" xfId="0">
      <alignment horizontal="right" vertical="center"/>
    </xf>
    <xf numFmtId="165" fontId="22" fillId="0" borderId="19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4" fontId="12" fillId="4" borderId="2" applyAlignment="1" pivotButton="0" quotePrefix="0" xfId="0">
      <alignment horizontal="right" vertical="center"/>
    </xf>
    <xf numFmtId="165" fontId="17" fillId="4" borderId="2" applyAlignment="1" pivotButton="0" quotePrefix="0" xfId="0">
      <alignment horizontal="right" vertical="center"/>
    </xf>
    <xf numFmtId="0" fontId="22" fillId="0" borderId="0" applyAlignment="1" pivotButton="0" quotePrefix="0" xfId="0">
      <alignment vertical="center"/>
    </xf>
    <xf numFmtId="168" fontId="28" fillId="0" borderId="14" applyAlignment="1" pivotButton="0" quotePrefix="0" xfId="0">
      <alignment horizontal="right" vertical="center"/>
    </xf>
    <xf numFmtId="168" fontId="28" fillId="0" borderId="15" applyAlignment="1" pivotButton="0" quotePrefix="0" xfId="0">
      <alignment horizontal="right" vertical="center"/>
    </xf>
    <xf numFmtId="0" fontId="22" fillId="0" borderId="21" applyAlignment="1" pivotButton="0" quotePrefix="0" xfId="0">
      <alignment vertical="center"/>
    </xf>
    <xf numFmtId="3" fontId="22" fillId="0" borderId="20" applyAlignment="1" pivotButton="0" quotePrefix="0" xfId="0">
      <alignment horizontal="right" vertical="center"/>
    </xf>
    <xf numFmtId="165" fontId="13" fillId="0" borderId="14" applyAlignment="1" pivotButton="0" quotePrefix="0" xfId="0">
      <alignment horizontal="right" vertical="center"/>
    </xf>
    <xf numFmtId="165" fontId="13" fillId="0" borderId="16" applyAlignment="1" pivotButton="0" quotePrefix="0" xfId="0">
      <alignment horizontal="right" vertical="center"/>
    </xf>
    <xf numFmtId="169" fontId="13" fillId="0" borderId="14" applyAlignment="1" pivotButton="0" quotePrefix="0" xfId="0">
      <alignment horizontal="right" vertical="center"/>
    </xf>
    <xf numFmtId="169" fontId="13" fillId="0" borderId="20" applyAlignment="1" pivotButton="0" quotePrefix="0" xfId="0">
      <alignment horizontal="right" vertical="center"/>
    </xf>
    <xf numFmtId="169" fontId="13" fillId="0" borderId="2" applyAlignment="1" pivotButton="0" quotePrefix="0" xfId="0">
      <alignment horizontal="right" vertical="center"/>
    </xf>
    <xf numFmtId="1" fontId="9" fillId="0" borderId="14" applyAlignment="1" pivotButton="0" quotePrefix="0" xfId="0">
      <alignment horizontal="right" vertical="center"/>
    </xf>
    <xf numFmtId="165" fontId="9" fillId="0" borderId="16" applyAlignment="1" pivotButton="0" quotePrefix="0" xfId="0">
      <alignment horizontal="right" vertical="center"/>
    </xf>
    <xf numFmtId="1" fontId="16" fillId="0" borderId="14" applyAlignment="1" pivotButton="0" quotePrefix="0" xfId="0">
      <alignment horizontal="right" vertical="center"/>
    </xf>
    <xf numFmtId="165" fontId="16" fillId="0" borderId="16" applyAlignment="1" pivotButton="0" quotePrefix="0" xfId="0">
      <alignment horizontal="right" vertical="center"/>
    </xf>
    <xf numFmtId="170" fontId="28" fillId="0" borderId="14" applyAlignment="1" pivotButton="0" quotePrefix="0" xfId="0">
      <alignment horizontal="right" vertical="center"/>
    </xf>
    <xf numFmtId="170" fontId="28" fillId="0" borderId="15" applyAlignment="1" pivotButton="0" quotePrefix="0" xfId="0">
      <alignment horizontal="right" vertical="center"/>
    </xf>
    <xf numFmtId="170" fontId="28" fillId="0" borderId="16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3" fontId="9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165" fontId="23" fillId="3" borderId="1" applyAlignment="1" pivotButton="0" quotePrefix="0" xfId="0">
      <alignment horizontal="right" vertical="center"/>
    </xf>
    <xf numFmtId="3" fontId="23" fillId="3" borderId="1" applyAlignment="1" pivotButton="0" quotePrefix="0" xfId="0">
      <alignment horizontal="right" vertical="center"/>
    </xf>
    <xf numFmtId="0" fontId="13" fillId="0" borderId="16" applyAlignment="1" pivotButton="0" quotePrefix="0" xfId="0">
      <alignment horizontal="left" vertical="center"/>
    </xf>
    <xf numFmtId="0" fontId="13" fillId="0" borderId="21" applyAlignment="1" pivotButton="0" quotePrefix="0" xfId="0">
      <alignment vertical="center"/>
    </xf>
    <xf numFmtId="0" fontId="13" fillId="0" borderId="21" applyAlignment="1" pivotButton="0" quotePrefix="0" xfId="0">
      <alignment horizontal="left" vertical="center"/>
    </xf>
    <xf numFmtId="3" fontId="13" fillId="0" borderId="21" applyAlignment="1" pivotButton="0" quotePrefix="0" xfId="0">
      <alignment horizontal="right" vertical="center"/>
    </xf>
    <xf numFmtId="0" fontId="13" fillId="0" borderId="14" applyAlignment="1" pivotButton="0" quotePrefix="0" xfId="0">
      <alignment vertical="center"/>
    </xf>
    <xf numFmtId="0" fontId="13" fillId="0" borderId="7" applyAlignment="1" pivotButton="0" quotePrefix="0" xfId="0">
      <alignment vertical="center"/>
    </xf>
    <xf numFmtId="9" fontId="13" fillId="0" borderId="7" applyAlignment="1" pivotButton="0" quotePrefix="0" xfId="3">
      <alignment vertical="center"/>
    </xf>
    <xf numFmtId="0" fontId="13" fillId="0" borderId="15" applyAlignment="1" pivotButton="0" quotePrefix="0" xfId="0">
      <alignment vertical="center"/>
    </xf>
    <xf numFmtId="0" fontId="13" fillId="0" borderId="8" applyAlignment="1" pivotButton="0" quotePrefix="0" xfId="0">
      <alignment vertical="center"/>
    </xf>
    <xf numFmtId="9" fontId="13" fillId="0" borderId="8" applyAlignment="1" pivotButton="0" quotePrefix="0" xfId="3">
      <alignment vertical="center"/>
    </xf>
    <xf numFmtId="0" fontId="13" fillId="0" borderId="16" applyAlignment="1" pivotButton="0" quotePrefix="0" xfId="0">
      <alignment vertical="center"/>
    </xf>
    <xf numFmtId="0" fontId="13" fillId="0" borderId="9" applyAlignment="1" pivotButton="0" quotePrefix="0" xfId="0">
      <alignment vertical="center"/>
    </xf>
    <xf numFmtId="9" fontId="13" fillId="0" borderId="9" applyAlignment="1" pivotButton="0" quotePrefix="0" xfId="3">
      <alignment vertical="center"/>
    </xf>
    <xf numFmtId="38" fontId="13" fillId="0" borderId="14" applyAlignment="1" pivotButton="0" quotePrefix="0" xfId="0">
      <alignment vertical="center"/>
    </xf>
    <xf numFmtId="38" fontId="13" fillId="0" borderId="15" applyAlignment="1" pivotButton="0" quotePrefix="0" xfId="0">
      <alignment vertical="center"/>
    </xf>
    <xf numFmtId="38" fontId="13" fillId="0" borderId="16" applyAlignment="1" pivotButton="0" quotePrefix="0" xfId="0">
      <alignment vertical="center"/>
    </xf>
    <xf numFmtId="38" fontId="13" fillId="0" borderId="7" applyAlignment="1" pivotButton="0" quotePrefix="0" xfId="0">
      <alignment vertical="center"/>
    </xf>
    <xf numFmtId="38" fontId="13" fillId="0" borderId="8" applyAlignment="1" pivotButton="0" quotePrefix="0" xfId="0">
      <alignment vertical="center"/>
    </xf>
    <xf numFmtId="38" fontId="13" fillId="0" borderId="9" applyAlignment="1" pivotButton="0" quotePrefix="0" xfId="0">
      <alignment vertical="center"/>
    </xf>
    <xf numFmtId="0" fontId="13" fillId="0" borderId="21" applyAlignment="1" pivotButton="0" quotePrefix="0" xfId="0">
      <alignment horizontal="center" vertical="center"/>
    </xf>
    <xf numFmtId="38" fontId="9" fillId="5" borderId="1" applyAlignment="1" pivotButton="0" quotePrefix="0" xfId="1">
      <alignment vertical="center"/>
    </xf>
    <xf numFmtId="0" fontId="6" fillId="0" borderId="0" applyAlignment="1" pivotButton="0" quotePrefix="1" xfId="0">
      <alignment horizontal="left" vertical="center"/>
    </xf>
    <xf numFmtId="0" fontId="12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10" pivotButton="0" quotePrefix="0" xfId="0"/>
    <xf numFmtId="165" fontId="23" fillId="3" borderId="1" applyAlignment="1" pivotButton="0" quotePrefix="0" xfId="0">
      <alignment horizontal="right" vertical="center"/>
    </xf>
    <xf numFmtId="169" fontId="13" fillId="0" borderId="14" applyAlignment="1" pivotButton="0" quotePrefix="0" xfId="0">
      <alignment horizontal="right" vertical="center"/>
    </xf>
    <xf numFmtId="169" fontId="13" fillId="0" borderId="20" applyAlignment="1" pivotButton="0" quotePrefix="0" xfId="0">
      <alignment horizontal="right" vertical="center"/>
    </xf>
    <xf numFmtId="169" fontId="13" fillId="0" borderId="2" applyAlignment="1" pivotButton="0" quotePrefix="0" xfId="0">
      <alignment horizontal="right" vertical="center"/>
    </xf>
    <xf numFmtId="165" fontId="13" fillId="0" borderId="14" applyAlignment="1" pivotButton="0" quotePrefix="0" xfId="0">
      <alignment horizontal="right" vertical="center"/>
    </xf>
    <xf numFmtId="165" fontId="13" fillId="0" borderId="16" applyAlignment="1" pivotButton="0" quotePrefix="0" xfId="0">
      <alignment horizontal="right" vertical="center"/>
    </xf>
    <xf numFmtId="170" fontId="28" fillId="0" borderId="14" applyAlignment="1" pivotButton="0" quotePrefix="0" xfId="0">
      <alignment horizontal="right" vertical="center"/>
    </xf>
    <xf numFmtId="170" fontId="28" fillId="0" borderId="15" applyAlignment="1" pivotButton="0" quotePrefix="0" xfId="0">
      <alignment horizontal="right" vertical="center"/>
    </xf>
    <xf numFmtId="165" fontId="16" fillId="0" borderId="16" applyAlignment="1" pivotButton="0" quotePrefix="0" xfId="0">
      <alignment horizontal="right" vertical="center"/>
    </xf>
    <xf numFmtId="165" fontId="9" fillId="0" borderId="16" applyAlignment="1" pivotButton="0" quotePrefix="0" xfId="0">
      <alignment horizontal="right" vertical="center"/>
    </xf>
    <xf numFmtId="170" fontId="28" fillId="0" borderId="16" applyAlignment="1" pivotButton="0" quotePrefix="0" xfId="0">
      <alignment horizontal="right" vertical="center"/>
    </xf>
  </cellXfs>
  <cellStyles count="4">
    <cellStyle name="標準" xfId="0" builtinId="0"/>
    <cellStyle name="桁区切り" xfId="1" builtinId="6"/>
    <cellStyle name="標準 2" xfId="2"/>
    <cellStyle name="パーセント" xfId="3" builtinId="5"/>
  </cellStyles>
  <dxfs count="6"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E7" sqref="E7"/>
    </sheetView>
  </sheetViews>
  <sheetFormatPr baseColWidth="8" defaultRowHeight="13"/>
  <cols>
    <col width="2.36328125" customWidth="1" min="1" max="3"/>
    <col width="18" customWidth="1" min="4" max="4"/>
    <col width="40" customWidth="1" min="5" max="5"/>
    <col width="16" customWidth="1" min="6" max="6"/>
  </cols>
  <sheetData>
    <row r="2" ht="19.5" customHeight="1">
      <c r="B2" s="64" t="inlineStr">
        <is>
          <t>00_Index ― 目次・ファイル概要</t>
        </is>
      </c>
    </row>
    <row r="3" ht="13.5" customHeight="1"/>
    <row r="4" ht="13.5" customHeight="1">
      <c r="D4" s="3" t="inlineStr">
        <is>
          <t>このファイルの目的：施設別の月次売上を、元データから集計してKPIを出力する実績集計ブック（入力→計算→出力→検証を分離）。</t>
        </is>
      </c>
    </row>
    <row r="5" ht="13.5" customHeight="1">
      <c r="D5" s="66" t="inlineStr">
        <is>
          <t>更新日 / 前提の要約</t>
        </is>
      </c>
      <c r="E5" s="67" t="n"/>
      <c r="F5" s="67" t="n"/>
    </row>
    <row r="6" ht="13.5" customHeight="1"/>
    <row r="7" ht="13.5" customHeight="1">
      <c r="D7" s="68" t="inlineStr">
        <is>
          <t>項目</t>
        </is>
      </c>
      <c r="E7" s="68" t="inlineStr">
        <is>
          <t>内容</t>
        </is>
      </c>
      <c r="F7" s="68" t="inlineStr">
        <is>
          <t>更新日</t>
        </is>
      </c>
    </row>
    <row r="8" ht="13.5" customHeight="1">
      <c r="D8" s="69" t="inlineStr">
        <is>
          <t>対象期間</t>
        </is>
      </c>
      <c r="E8" s="69" t="inlineStr">
        <is>
          <t>2026年7月〜8月</t>
        </is>
      </c>
      <c r="F8" s="77" t="inlineStr">
        <is>
          <t>2026-07-20</t>
        </is>
      </c>
    </row>
    <row r="9" ht="13.5" customHeight="1">
      <c r="D9" s="72" t="inlineStr">
        <is>
          <t>消費税率</t>
        </is>
      </c>
      <c r="E9" s="72" t="inlineStr">
        <is>
          <t>10%（税抜集計）</t>
        </is>
      </c>
      <c r="F9" s="79" t="inlineStr">
        <is>
          <t>2026-07-20</t>
        </is>
      </c>
    </row>
    <row r="10" ht="13.5" customHeight="1">
      <c r="D10" s="74" t="inlineStr">
        <is>
          <t>対象施設</t>
        </is>
      </c>
      <c r="E10" s="74" t="inlineStr">
        <is>
          <t>西伊豆・熱海（Masterシート参照）</t>
        </is>
      </c>
      <c r="F10" s="83" t="inlineStr">
        <is>
          <t>2026-07-20</t>
        </is>
      </c>
    </row>
    <row r="11" ht="13.5" customHeight="1"/>
    <row r="12" ht="13.5" customHeight="1"/>
    <row r="13" ht="13.5" customHeight="1"/>
    <row r="14" ht="13.5" customHeight="1">
      <c r="D14" s="66" t="inlineStr">
        <is>
          <t>シート構成</t>
        </is>
      </c>
      <c r="E14" s="67" t="n"/>
      <c r="F14" s="67" t="n"/>
    </row>
    <row r="15" ht="13.5" customHeight="1"/>
    <row r="16" ht="13.5" customHeight="1">
      <c r="D16" s="68" t="inlineStr">
        <is>
          <t>シート</t>
        </is>
      </c>
      <c r="E16" s="68" t="inlineStr">
        <is>
          <t>役割</t>
        </is>
      </c>
      <c r="F16" s="68" t="inlineStr">
        <is>
          <t>区分</t>
        </is>
      </c>
    </row>
    <row r="17" ht="13.5" customHeight="1">
      <c r="D17" s="69" t="inlineStr">
        <is>
          <t>00_Index</t>
        </is>
      </c>
      <c r="E17" s="69" t="inlineStr">
        <is>
          <t>目次・目的・更新日・前提の要約</t>
        </is>
      </c>
      <c r="F17" s="77" t="inlineStr">
        <is>
          <t>案内</t>
        </is>
      </c>
    </row>
    <row r="18" ht="13.5" customHeight="1">
      <c r="D18" s="72" t="inlineStr">
        <is>
          <t>01_Assumption</t>
        </is>
      </c>
      <c r="E18" s="72" t="inlineStr">
        <is>
          <t>前提条件・置き値（青字入力を集約）</t>
        </is>
      </c>
      <c r="F18" s="79" t="inlineStr">
        <is>
          <t>入力</t>
        </is>
      </c>
    </row>
    <row r="19" ht="13.5" customHeight="1">
      <c r="D19" s="72" t="inlineStr">
        <is>
          <t>02_RawData</t>
        </is>
      </c>
      <c r="E19" s="72" t="inlineStr">
        <is>
          <t>加工前の元データ（触らない）</t>
        </is>
      </c>
      <c r="F19" s="79" t="inlineStr">
        <is>
          <t>元データ</t>
        </is>
      </c>
    </row>
    <row r="20" ht="13.5" customHeight="1">
      <c r="D20" s="72" t="inlineStr">
        <is>
          <t>03_Master</t>
        </is>
      </c>
      <c r="E20" s="72" t="inlineStr">
        <is>
          <t>施設・OTAなどのマスタ</t>
        </is>
      </c>
      <c r="F20" s="79" t="inlineStr">
        <is>
          <t>マスタ</t>
        </is>
      </c>
    </row>
    <row r="21" ht="13.5" customHeight="1">
      <c r="D21" s="72" t="inlineStr">
        <is>
          <t>04_Calculation</t>
        </is>
      </c>
      <c r="E21" s="72" t="inlineStr">
        <is>
          <t>集計・計算ロジック</t>
        </is>
      </c>
      <c r="F21" s="79" t="inlineStr">
        <is>
          <t>計算</t>
        </is>
      </c>
    </row>
    <row r="22" ht="13.5" customHeight="1">
      <c r="D22" s="72" t="inlineStr">
        <is>
          <t>05_Output</t>
        </is>
      </c>
      <c r="E22" s="72" t="inlineStr">
        <is>
          <t>結果表・KPI</t>
        </is>
      </c>
      <c r="F22" s="79" t="inlineStr">
        <is>
          <t>出力</t>
        </is>
      </c>
    </row>
    <row r="23" ht="13.5" customHeight="1">
      <c r="D23" s="74" t="inlineStr">
        <is>
          <t>06_Check</t>
        </is>
      </c>
      <c r="E23" s="74" t="inlineStr">
        <is>
          <t>エラーチェック・整合性確認</t>
        </is>
      </c>
      <c r="F23" s="83" t="inlineStr">
        <is>
          <t>検証</t>
        </is>
      </c>
    </row>
    <row r="24" ht="13.5" customHeight="1"/>
    <row r="25" ht="13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1"/>
  <sheetViews>
    <sheetView showGridLines="0" workbookViewId="0">
      <selection activeCell="A1" sqref="A1"/>
    </sheetView>
  </sheetViews>
  <sheetFormatPr baseColWidth="8" defaultRowHeight="13"/>
  <cols>
    <col width="2.36328125" customWidth="1" min="1" max="3"/>
    <col width="15.36328125" bestFit="1" customWidth="1" min="4" max="4"/>
    <col width="14" customWidth="1" min="5" max="5"/>
    <col width="10" customWidth="1" min="6" max="6"/>
  </cols>
  <sheetData>
    <row r="2" ht="19.5" customHeight="1">
      <c r="B2" s="64" t="inlineStr">
        <is>
          <t>01_Assumption ― 前提条件（青字が入力）</t>
        </is>
      </c>
    </row>
    <row r="3" ht="13.5" customHeight="1"/>
    <row r="4" ht="13.5" customHeight="1"/>
    <row r="5" ht="13.5" customHeight="1">
      <c r="D5" s="66" t="inlineStr">
        <is>
          <t>前提・置き値</t>
        </is>
      </c>
      <c r="E5" s="67" t="n"/>
      <c r="F5" s="67" t="n"/>
    </row>
    <row r="6" ht="13.5" customHeight="1"/>
    <row r="7" ht="13.5" customHeight="1">
      <c r="D7" s="68" t="inlineStr">
        <is>
          <t>項目</t>
        </is>
      </c>
      <c r="E7" s="68" t="inlineStr">
        <is>
          <t>値</t>
        </is>
      </c>
      <c r="F7" s="68" t="inlineStr">
        <is>
          <t>単位</t>
        </is>
      </c>
    </row>
    <row r="8" ht="13.5" customHeight="1">
      <c r="D8" s="109" t="inlineStr">
        <is>
          <t>消費税率</t>
        </is>
      </c>
      <c r="E8" s="192" t="n">
        <v>0.1</v>
      </c>
      <c r="F8" s="68" t="n"/>
    </row>
    <row r="9" ht="13.5" customHeight="1">
      <c r="D9" s="109" t="inlineStr">
        <is>
          <t>集計対象月・開始</t>
        </is>
      </c>
      <c r="E9" s="166" t="n">
        <v>7</v>
      </c>
      <c r="F9" s="68" t="inlineStr">
        <is>
          <t>月</t>
        </is>
      </c>
    </row>
    <row r="10" ht="13.5" customHeight="1">
      <c r="D10" s="109" t="inlineStr">
        <is>
          <t>集計対象月・終了</t>
        </is>
      </c>
      <c r="E10" s="166" t="n">
        <v>8</v>
      </c>
      <c r="F10" s="68" t="inlineStr">
        <is>
          <t>月</t>
        </is>
      </c>
    </row>
    <row r="11" ht="13.5" customHeight="1">
      <c r="D11" s="109" t="inlineStr">
        <is>
          <t>目標稼働率</t>
        </is>
      </c>
      <c r="E11" s="192" t="n">
        <v>0.7</v>
      </c>
      <c r="F11" s="68" t="n"/>
    </row>
    <row r="12" ht="13.5" customHeight="1"/>
    <row r="13" ht="13.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7"/>
  <sheetViews>
    <sheetView showGridLines="0" workbookViewId="0">
      <selection activeCell="D4" sqref="D4"/>
    </sheetView>
  </sheetViews>
  <sheetFormatPr baseColWidth="8" defaultRowHeight="13"/>
  <cols>
    <col width="2.36328125" customWidth="1" min="1" max="3"/>
    <col width="10" customWidth="1" min="4" max="5"/>
    <col width="7" customWidth="1" min="6" max="6"/>
    <col width="14" customWidth="1" min="7" max="7"/>
    <col width="9" customWidth="1" min="8" max="8"/>
    <col width="14" customWidth="1" min="9" max="9"/>
  </cols>
  <sheetData>
    <row r="2" ht="19.5" customHeight="1">
      <c r="B2" s="64" t="inlineStr">
        <is>
          <t>02_RawData ― 元データ（加工しない）</t>
        </is>
      </c>
    </row>
    <row r="3" ht="13.5" customHeight="1"/>
    <row r="4" ht="13.5" customHeight="1">
      <c r="D4" s="3" t="inlineStr">
        <is>
          <t>このシートは元データ。数式や加工を入れず、そのまま保持する。</t>
        </is>
      </c>
    </row>
    <row r="5" ht="13.5" customHeight="1">
      <c r="D5" s="66" t="inlineStr">
        <is>
          <t>元データ（予約明細）</t>
        </is>
      </c>
      <c r="E5" s="67" t="n"/>
      <c r="F5" s="67" t="n"/>
      <c r="G5" s="67" t="n"/>
      <c r="H5" s="67" t="n"/>
      <c r="I5" s="67" t="n"/>
    </row>
    <row r="6" ht="13.5" customHeight="1"/>
    <row r="7" ht="13.5" customHeight="1">
      <c r="D7" s="148" t="inlineStr">
        <is>
          <t>予約ID</t>
        </is>
      </c>
      <c r="E7" s="148" t="inlineStr">
        <is>
          <t>施設</t>
        </is>
      </c>
      <c r="F7" s="148" t="inlineStr">
        <is>
          <t>月</t>
        </is>
      </c>
      <c r="G7" s="148" t="inlineStr">
        <is>
          <t>客室タイプ</t>
        </is>
      </c>
      <c r="H7" s="148" t="inlineStr">
        <is>
          <t>泊数</t>
        </is>
      </c>
      <c r="I7" s="148" t="inlineStr">
        <is>
          <t>売上税抜(円)</t>
        </is>
      </c>
    </row>
    <row r="8" ht="13.5" customHeight="1">
      <c r="D8" s="148" t="inlineStr">
        <is>
          <t>R001</t>
        </is>
      </c>
      <c r="E8" s="148" t="inlineStr">
        <is>
          <t>西伊豆</t>
        </is>
      </c>
      <c r="F8" s="148" t="n">
        <v>7</v>
      </c>
      <c r="G8" s="148" t="inlineStr">
        <is>
          <t>スイート</t>
        </is>
      </c>
      <c r="H8" s="148" t="n">
        <v>2</v>
      </c>
      <c r="I8" s="148" t="n">
        <v>160000</v>
      </c>
    </row>
    <row r="9" ht="13.5" customHeight="1">
      <c r="D9" s="148" t="inlineStr">
        <is>
          <t>R002</t>
        </is>
      </c>
      <c r="E9" s="148" t="inlineStr">
        <is>
          <t>西伊豆</t>
        </is>
      </c>
      <c r="F9" s="148" t="n">
        <v>7</v>
      </c>
      <c r="G9" s="148" t="inlineStr">
        <is>
          <t>スタンダード</t>
        </is>
      </c>
      <c r="H9" s="148" t="n">
        <v>3</v>
      </c>
      <c r="I9" s="148" t="n">
        <v>108000</v>
      </c>
    </row>
    <row r="10" ht="13.5" customHeight="1">
      <c r="D10" s="148" t="inlineStr">
        <is>
          <t>R003</t>
        </is>
      </c>
      <c r="E10" s="148" t="inlineStr">
        <is>
          <t>熱海</t>
        </is>
      </c>
      <c r="F10" s="148" t="n">
        <v>7</v>
      </c>
      <c r="G10" s="148" t="inlineStr">
        <is>
          <t>スタンダード</t>
        </is>
      </c>
      <c r="H10" s="148" t="n">
        <v>2</v>
      </c>
      <c r="I10" s="148" t="n">
        <v>72000</v>
      </c>
    </row>
    <row r="11" ht="13.5" customHeight="1">
      <c r="D11" s="148" t="inlineStr">
        <is>
          <t>R004</t>
        </is>
      </c>
      <c r="E11" s="148" t="inlineStr">
        <is>
          <t>西伊豆</t>
        </is>
      </c>
      <c r="F11" s="148" t="n">
        <v>8</v>
      </c>
      <c r="G11" s="148" t="inlineStr">
        <is>
          <t>スイート</t>
        </is>
      </c>
      <c r="H11" s="148" t="n">
        <v>2</v>
      </c>
      <c r="I11" s="148" t="n">
        <v>180000</v>
      </c>
    </row>
    <row r="12" ht="13.5" customHeight="1">
      <c r="D12" s="148" t="inlineStr">
        <is>
          <t>R005</t>
        </is>
      </c>
      <c r="E12" s="148" t="inlineStr">
        <is>
          <t>熱海</t>
        </is>
      </c>
      <c r="F12" s="148" t="n">
        <v>8</v>
      </c>
      <c r="G12" s="148" t="inlineStr">
        <is>
          <t>スイート</t>
        </is>
      </c>
      <c r="H12" s="148" t="n">
        <v>1</v>
      </c>
      <c r="I12" s="148" t="n">
        <v>95000</v>
      </c>
    </row>
    <row r="13" ht="13.5" customHeight="1">
      <c r="D13" s="148" t="inlineStr">
        <is>
          <t>R006</t>
        </is>
      </c>
      <c r="E13" s="148" t="inlineStr">
        <is>
          <t>西伊豆</t>
        </is>
      </c>
      <c r="F13" s="148" t="n">
        <v>7</v>
      </c>
      <c r="G13" s="148" t="inlineStr">
        <is>
          <t>スタンダード</t>
        </is>
      </c>
      <c r="H13" s="148" t="n">
        <v>1</v>
      </c>
      <c r="I13" s="148" t="n">
        <v>36000</v>
      </c>
    </row>
    <row r="14" ht="13.5" customHeight="1">
      <c r="D14" s="148" t="inlineStr">
        <is>
          <t>R007</t>
        </is>
      </c>
      <c r="E14" s="148" t="inlineStr">
        <is>
          <t>熱海</t>
        </is>
      </c>
      <c r="F14" s="148" t="n">
        <v>8</v>
      </c>
      <c r="G14" s="148" t="inlineStr">
        <is>
          <t>スタンダード</t>
        </is>
      </c>
      <c r="H14" s="148" t="n">
        <v>4</v>
      </c>
      <c r="I14" s="148" t="n">
        <v>152000</v>
      </c>
    </row>
    <row r="15" ht="13.5" customHeight="1">
      <c r="D15" s="148" t="inlineStr">
        <is>
          <t>R008</t>
        </is>
      </c>
      <c r="E15" s="148" t="inlineStr">
        <is>
          <t>西伊豆</t>
        </is>
      </c>
      <c r="F15" s="148" t="n">
        <v>8</v>
      </c>
      <c r="G15" s="148" t="inlineStr">
        <is>
          <t>スタンダード</t>
        </is>
      </c>
      <c r="H15" s="148" t="n">
        <v>2</v>
      </c>
      <c r="I15" s="148" t="n">
        <v>74000</v>
      </c>
    </row>
    <row r="16" ht="13.5" customHeight="1">
      <c r="D16" s="148" t="inlineStr">
        <is>
          <t>R009</t>
        </is>
      </c>
      <c r="E16" s="148" t="inlineStr">
        <is>
          <t>熱海</t>
        </is>
      </c>
      <c r="F16" s="148" t="n">
        <v>7</v>
      </c>
      <c r="G16" s="148" t="inlineStr">
        <is>
          <t>スイート</t>
        </is>
      </c>
      <c r="H16" s="148" t="n">
        <v>1</v>
      </c>
      <c r="I16" s="148" t="n">
        <v>92000</v>
      </c>
    </row>
    <row r="17" ht="13.5" customHeight="1">
      <c r="D17" s="148" t="inlineStr">
        <is>
          <t>R010</t>
        </is>
      </c>
      <c r="E17" s="148" t="inlineStr">
        <is>
          <t>西伊豆</t>
        </is>
      </c>
      <c r="F17" s="148" t="n">
        <v>8</v>
      </c>
      <c r="G17" s="148" t="inlineStr">
        <is>
          <t>スイート</t>
        </is>
      </c>
      <c r="H17" s="148" t="n">
        <v>3</v>
      </c>
      <c r="I17" s="148" t="n">
        <v>270000</v>
      </c>
    </row>
    <row r="18" ht="13.5" customHeight="1"/>
    <row r="19" ht="13.5" customHeight="1"/>
    <row r="20" ht="13.5" customHeight="1"/>
    <row r="21" ht="13.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3"/>
  <sheetViews>
    <sheetView showGridLines="0" workbookViewId="0">
      <selection activeCell="A1" sqref="A1"/>
    </sheetView>
  </sheetViews>
  <sheetFormatPr baseColWidth="8" defaultRowHeight="13"/>
  <cols>
    <col width="2.36328125" customWidth="1" min="1" max="3"/>
    <col width="12" customWidth="1" min="4" max="5"/>
    <col width="10" customWidth="1" min="6" max="6"/>
  </cols>
  <sheetData>
    <row r="2" ht="19.5" customHeight="1">
      <c r="B2" s="64" t="inlineStr">
        <is>
          <t>03_Master ― マスタ</t>
        </is>
      </c>
    </row>
    <row r="3" ht="13.5" customHeight="1"/>
    <row r="4" ht="13.5" customHeight="1">
      <c r="D4" s="3" t="n"/>
    </row>
    <row r="5" ht="13.5" customHeight="1">
      <c r="D5" s="66" t="inlineStr">
        <is>
          <t>施設マスタ</t>
        </is>
      </c>
      <c r="E5" s="67" t="n"/>
      <c r="F5" s="67" t="n"/>
    </row>
    <row r="6" ht="13.5" customHeight="1"/>
    <row r="7" ht="13.5" customHeight="1">
      <c r="D7" s="68" t="inlineStr">
        <is>
          <t>施設</t>
        </is>
      </c>
      <c r="E7" s="68" t="inlineStr">
        <is>
          <t>客室数(室)</t>
        </is>
      </c>
      <c r="F7" s="68" t="inlineStr">
        <is>
          <t>エリア</t>
        </is>
      </c>
    </row>
    <row r="8" ht="13.5" customHeight="1">
      <c r="D8" s="162" t="inlineStr">
        <is>
          <t>西伊豆</t>
        </is>
      </c>
      <c r="E8" s="163" t="n">
        <v>20</v>
      </c>
      <c r="F8" s="164" t="inlineStr">
        <is>
          <t>静岡</t>
        </is>
      </c>
    </row>
    <row r="9" ht="13.5" customHeight="1">
      <c r="D9" s="162" t="inlineStr">
        <is>
          <t>熱海</t>
        </is>
      </c>
      <c r="E9" s="163" t="n">
        <v>15</v>
      </c>
      <c r="F9" s="164" t="inlineStr">
        <is>
          <t>静岡</t>
        </is>
      </c>
    </row>
    <row r="10" ht="13.5" customHeight="1">
      <c r="D10" s="162" t="n"/>
      <c r="E10" s="163" t="n"/>
      <c r="F10" s="164" t="n"/>
    </row>
    <row r="11" ht="13.5" customHeight="1">
      <c r="D11" s="162" t="n"/>
      <c r="E11" s="163" t="n"/>
      <c r="F11" s="164" t="n"/>
    </row>
    <row r="12" ht="13.5" customHeight="1">
      <c r="D12" s="162" t="n"/>
      <c r="E12" s="163" t="n"/>
      <c r="F12" s="164" t="n"/>
    </row>
    <row r="13" ht="13.5" customHeight="1">
      <c r="D13" s="162" t="n"/>
      <c r="E13" s="163" t="n"/>
      <c r="F13" s="16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0"/>
  <sheetViews>
    <sheetView showGridLines="0" workbookViewId="0">
      <selection activeCell="F8" sqref="F8"/>
    </sheetView>
  </sheetViews>
  <sheetFormatPr baseColWidth="8" defaultRowHeight="13"/>
  <cols>
    <col width="2.36328125" customWidth="1" min="1" max="3"/>
    <col width="12" customWidth="1" min="4" max="4"/>
    <col width="14" customWidth="1" min="5" max="6"/>
    <col width="12" customWidth="1" min="7" max="7"/>
    <col width="14" customWidth="1" min="8" max="8"/>
  </cols>
  <sheetData>
    <row r="2" ht="19.5" customHeight="1">
      <c r="B2" s="64" t="inlineStr">
        <is>
          <t>04_Calculation ― 集計（RawData/Masterを参照）</t>
        </is>
      </c>
    </row>
    <row r="3" ht="13.5" customHeight="1"/>
    <row r="4" ht="13.5" customHeight="1"/>
    <row r="5" ht="13.5" customHeight="1">
      <c r="D5" s="66" t="inlineStr">
        <is>
          <t>施設別 売上集計</t>
        </is>
      </c>
      <c r="E5" s="67" t="n"/>
      <c r="F5" s="67" t="n"/>
      <c r="G5" s="67" t="n"/>
      <c r="H5" s="67" t="n"/>
    </row>
    <row r="6" ht="13.5" customHeight="1"/>
    <row r="7" ht="13.5" customHeight="1">
      <c r="D7" s="68" t="inlineStr">
        <is>
          <t>施設</t>
        </is>
      </c>
      <c r="E7" s="68" t="inlineStr">
        <is>
          <t>売上計(円)</t>
        </is>
      </c>
      <c r="F7" s="138" t="inlineStr">
        <is>
          <t>売上構成%</t>
        </is>
      </c>
      <c r="G7" s="68" t="inlineStr">
        <is>
          <t>客室数(室)</t>
        </is>
      </c>
      <c r="H7" s="68" t="inlineStr">
        <is>
          <t>1室売上(円)</t>
        </is>
      </c>
    </row>
    <row r="8" ht="13.5" customHeight="1">
      <c r="D8" s="69" t="inlineStr">
        <is>
          <t>西伊豆</t>
        </is>
      </c>
      <c r="E8" s="85">
        <f>SUMIFS('02_RawData'!$I$8:$I$17,'02_RawData'!$E$8:$E$17,D8)</f>
        <v/>
      </c>
      <c r="F8" s="193">
        <f>E8/$E$10</f>
        <v/>
      </c>
      <c r="G8" s="85">
        <f>SUMIFS('03_Master'!$E$8:$E$9,'03_Master'!$D$8:$D$9,D8)</f>
        <v/>
      </c>
      <c r="H8" s="70">
        <f>E8/G8</f>
        <v/>
      </c>
    </row>
    <row r="9" ht="13.5" customHeight="1">
      <c r="D9" s="123" t="inlineStr">
        <is>
          <t>熱海</t>
        </is>
      </c>
      <c r="E9" s="108">
        <f>SUMIFS('02_RawData'!$I$8:$I$17,'02_RawData'!$E$8:$E$17,D9)</f>
        <v/>
      </c>
      <c r="F9" s="194">
        <f>E9/$E$10</f>
        <v/>
      </c>
      <c r="G9" s="108">
        <f>SUMIFS('03_Master'!$E$8:$E$9,'03_Master'!$D$8:$D$9,D9)</f>
        <v/>
      </c>
      <c r="H9" s="149">
        <f>E9/G9</f>
        <v/>
      </c>
    </row>
    <row r="10" ht="13.5" customHeight="1">
      <c r="D10" s="112" t="inlineStr">
        <is>
          <t>合計</t>
        </is>
      </c>
      <c r="E10" s="119">
        <f>SUM(E8:E9)</f>
        <v/>
      </c>
      <c r="F10" s="195">
        <f>E10/$E$10</f>
        <v/>
      </c>
      <c r="G10" s="119">
        <f>SUM(G8:G9)</f>
        <v/>
      </c>
      <c r="H10" s="119" t="n"/>
    </row>
    <row r="11" ht="13.5" customHeight="1"/>
    <row r="12" ht="13.5" customHeight="1"/>
    <row r="13" ht="13.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0" workbookViewId="0">
      <selection activeCell="E10" sqref="E10"/>
    </sheetView>
  </sheetViews>
  <sheetFormatPr baseColWidth="8" defaultRowHeight="13"/>
  <cols>
    <col width="2.36328125" customWidth="1" min="1" max="3"/>
    <col width="16" customWidth="1" min="4" max="5"/>
  </cols>
  <sheetData>
    <row r="2" ht="19.5" customHeight="1">
      <c r="B2" s="64" t="inlineStr">
        <is>
          <t>05_Output ― KPI（Calculationを参照）</t>
        </is>
      </c>
    </row>
    <row r="3" ht="13.5" customHeight="1"/>
    <row r="4" ht="13.5" customHeight="1"/>
    <row r="5" ht="13.5" customHeight="1">
      <c r="D5" s="66" t="inlineStr">
        <is>
          <t>主要KPI</t>
        </is>
      </c>
      <c r="E5" s="67" t="n"/>
    </row>
    <row r="6" ht="13.5" customHeight="1"/>
    <row r="7" ht="13.5" customHeight="1">
      <c r="D7" s="68" t="inlineStr">
        <is>
          <t>KPI</t>
        </is>
      </c>
      <c r="E7" s="68" t="inlineStr">
        <is>
          <t>値</t>
        </is>
      </c>
    </row>
    <row r="8" ht="13.5" customHeight="1">
      <c r="D8" s="111" t="inlineStr">
        <is>
          <t>総売上(円)</t>
        </is>
      </c>
      <c r="E8" s="125">
        <f>'04_Calculation'!E10</f>
        <v/>
      </c>
    </row>
    <row r="9" ht="13.5" customHeight="1">
      <c r="D9" s="109" t="n"/>
      <c r="E9" s="110" t="n"/>
    </row>
    <row r="10" ht="13.5" customHeight="1">
      <c r="D10" s="69" t="inlineStr">
        <is>
          <t>西伊豆 構成比</t>
        </is>
      </c>
      <c r="E10" s="196">
        <f>'04_Calculation'!F8</f>
        <v/>
      </c>
    </row>
    <row r="11" ht="13.5" customHeight="1">
      <c r="D11" s="74" t="inlineStr">
        <is>
          <t>熱海 構成比</t>
        </is>
      </c>
      <c r="E11" s="197">
        <f>'04_Calculation'!F9</f>
        <v/>
      </c>
    </row>
    <row r="12" ht="13.5" customHeight="1"/>
    <row r="13" ht="13.5" customHeight="1"/>
    <row r="14" ht="13.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10"/>
  <sheetViews>
    <sheetView showGridLines="0" workbookViewId="0">
      <selection activeCell="D10" sqref="D10"/>
    </sheetView>
  </sheetViews>
  <sheetFormatPr baseColWidth="8" defaultRowHeight="13"/>
  <cols>
    <col width="2.36328125" customWidth="1" min="1" max="3"/>
    <col width="28" customWidth="1" min="4" max="4"/>
    <col width="14" customWidth="1" min="5" max="7"/>
    <col width="10" customWidth="1" min="8" max="8"/>
  </cols>
  <sheetData>
    <row r="2" ht="19.5" customHeight="1">
      <c r="B2" s="64" t="inlineStr">
        <is>
          <t>06_Check ― 整合性チェック</t>
        </is>
      </c>
    </row>
    <row r="3" ht="13.5" customHeight="1"/>
    <row r="4" ht="13.5" customHeight="1">
      <c r="D4" s="3" t="inlineStr">
        <is>
          <t>判定がすべてOKなら、集計は元データと整合。1つでも要確認なら原因を追う。</t>
        </is>
      </c>
    </row>
    <row r="5" ht="13.5" customHeight="1">
      <c r="D5" s="66" t="inlineStr">
        <is>
          <t>チェック項目</t>
        </is>
      </c>
      <c r="E5" s="67" t="n"/>
      <c r="F5" s="67" t="n"/>
      <c r="G5" s="67" t="n"/>
      <c r="H5" s="67" t="n"/>
    </row>
    <row r="6" ht="13.5" customHeight="1"/>
    <row r="7" ht="13.5" customHeight="1">
      <c r="D7" s="68" t="inlineStr">
        <is>
          <t>チェック項目</t>
        </is>
      </c>
      <c r="E7" s="68" t="inlineStr">
        <is>
          <t>値A</t>
        </is>
      </c>
      <c r="F7" s="68" t="inlineStr">
        <is>
          <t>値B</t>
        </is>
      </c>
      <c r="G7" s="68" t="n"/>
      <c r="H7" s="68" t="inlineStr">
        <is>
          <t>判定</t>
        </is>
      </c>
    </row>
    <row r="8" ht="13.5" customHeight="1">
      <c r="D8" s="69" t="inlineStr">
        <is>
          <t>元データ件数 = 集計対象件数</t>
        </is>
      </c>
      <c r="E8" s="157">
        <f>COUNTA('02_RawData'!$D$8:$D$17)</f>
        <v/>
      </c>
      <c r="F8" s="155" t="n">
        <v>10</v>
      </c>
      <c r="G8" s="198">
        <f>F8-E8</f>
        <v/>
      </c>
      <c r="H8" s="87">
        <f>IF(G8&lt;0.0001,"OK","要確認")</f>
        <v/>
      </c>
    </row>
    <row r="9" ht="13.5" customHeight="1">
      <c r="D9" s="72" t="inlineStr">
        <is>
          <t>施設別売上合計 = 総売上</t>
        </is>
      </c>
      <c r="E9" s="105">
        <f>'04_Calculation'!E8+'04_Calculation'!E9</f>
        <v/>
      </c>
      <c r="F9" s="105">
        <f>'04_Calculation'!E10</f>
        <v/>
      </c>
      <c r="G9" s="199">
        <f>F9-E9</f>
        <v/>
      </c>
      <c r="H9" s="88">
        <f>IF(G9&lt;0.0001,"OK","要確認")</f>
        <v/>
      </c>
    </row>
    <row r="10" ht="13.5" customHeight="1">
      <c r="D10" s="74" t="inlineStr">
        <is>
          <t>構成比合計 = 100%</t>
        </is>
      </c>
      <c r="E10" s="200">
        <f>'05_Output'!E10+'05_Output'!E11</f>
        <v/>
      </c>
      <c r="F10" s="201" t="n">
        <v>1</v>
      </c>
      <c r="G10" s="202">
        <f>F10-E10</f>
        <v/>
      </c>
      <c r="H10" s="89">
        <f>IF(G10&lt;0.0001,"OK","要確認")</f>
        <v/>
      </c>
    </row>
    <row r="11" ht="13.5" customHeight="1"/>
    <row r="12" ht="13.5" customHeight="1"/>
    <row r="13" ht="13.5" customHeight="1"/>
  </sheetData>
  <conditionalFormatting sqref="H8:H10">
    <cfRule type="cellIs" priority="1" operator="equal" dxfId="1">
      <formula>"OK"</formula>
    </cfRule>
    <cfRule type="cellIs" priority="2" operator="equal" dxfId="0">
      <formula>"要確認"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2026-07-20T16:11:38Z</dcterms:created>
  <dcterms:modified xsi:type="dcterms:W3CDTF">2026-07-21T03:46:56Z</dcterms:modified>
  <cp:lastModifiedBy>ARTH.inc</cp:lastModifiedBy>
</cp:coreProperties>
</file>