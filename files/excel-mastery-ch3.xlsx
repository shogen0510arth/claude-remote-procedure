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00_Index" sheetId="1" state="visible" r:id="rId1"/>
    <sheet name="01_Assumption" sheetId="2" state="visible" r:id="rId2"/>
    <sheet name="02_RawData" sheetId="3" state="visible" r:id="rId3"/>
    <sheet name="03_Master" sheetId="4" state="visible" r:id="rId4"/>
    <sheet name="04_Calculation" sheetId="5" state="visible" r:id="rId5"/>
    <sheet name="05_Output" sheetId="6" state="visible" r:id="rId6"/>
    <sheet name="06_Check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202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165" fontId="23" fillId="3" borderId="1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E7" sqref="E7"/>
    </sheetView>
  </sheetViews>
  <sheetFormatPr baseColWidth="8" defaultRowHeight="13"/>
  <cols>
    <col width="2.36328125" customWidth="1" min="1" max="3"/>
    <col width="18" customWidth="1" min="4" max="4"/>
    <col width="40" customWidth="1" min="5" max="5"/>
    <col width="16" customWidth="1" min="6" max="6"/>
  </cols>
  <sheetData>
    <row r="2" ht="19.5" customHeight="1">
      <c r="B2" s="64" t="inlineStr">
        <is>
          <t>00_Index ― 目次・ファイル概要</t>
        </is>
      </c>
    </row>
    <row r="3" ht="13.5" customHeight="1"/>
    <row r="4" ht="13.5" customHeight="1">
      <c r="D4" s="3" t="inlineStr">
        <is>
          <t>このファイルの目的：施設別の月次売上を、元データから集計してKPIを出力する実績集計ブック（入力→計算→出力→検証を分離）。</t>
        </is>
      </c>
    </row>
    <row r="5" ht="13.5" customHeight="1">
      <c r="D5" s="66" t="inlineStr">
        <is>
          <t>更新日 / 前提の要約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内容</t>
        </is>
      </c>
      <c r="F7" s="68" t="inlineStr">
        <is>
          <t>更新日</t>
        </is>
      </c>
    </row>
    <row r="8" ht="13.5" customHeight="1">
      <c r="D8" s="69" t="inlineStr">
        <is>
          <t>対象期間</t>
        </is>
      </c>
      <c r="E8" s="69" t="inlineStr">
        <is>
          <t>2026年7月〜8月</t>
        </is>
      </c>
      <c r="F8" s="77" t="inlineStr">
        <is>
          <t>2026-07-20</t>
        </is>
      </c>
    </row>
    <row r="9" ht="13.5" customHeight="1">
      <c r="D9" s="72" t="inlineStr">
        <is>
          <t>消費税率</t>
        </is>
      </c>
      <c r="E9" s="72" t="inlineStr">
        <is>
          <t>10%（税抜集計）</t>
        </is>
      </c>
      <c r="F9" s="79" t="inlineStr">
        <is>
          <t>2026-07-20</t>
        </is>
      </c>
    </row>
    <row r="10" ht="13.5" customHeight="1">
      <c r="D10" s="74" t="inlineStr">
        <is>
          <t>対象施設</t>
        </is>
      </c>
      <c r="E10" s="74" t="inlineStr">
        <is>
          <t>西伊豆・熱海（Masterシート参照）</t>
        </is>
      </c>
      <c r="F10" s="83" t="inlineStr">
        <is>
          <t>2026-07-20</t>
        </is>
      </c>
    </row>
    <row r="11" ht="13.5" customHeight="1"/>
    <row r="12" ht="13.5" customHeight="1"/>
    <row r="13" ht="13.5" customHeight="1"/>
    <row r="14" ht="13.5" customHeight="1">
      <c r="D14" s="66" t="inlineStr">
        <is>
          <t>シート構成</t>
        </is>
      </c>
      <c r="E14" s="67" t="n"/>
      <c r="F14" s="67" t="n"/>
    </row>
    <row r="15" ht="13.5" customHeight="1"/>
    <row r="16" ht="13.5" customHeight="1">
      <c r="D16" s="68" t="inlineStr">
        <is>
          <t>シート</t>
        </is>
      </c>
      <c r="E16" s="68" t="inlineStr">
        <is>
          <t>役割</t>
        </is>
      </c>
      <c r="F16" s="68" t="inlineStr">
        <is>
          <t>区分</t>
        </is>
      </c>
    </row>
    <row r="17" ht="13.5" customHeight="1">
      <c r="D17" s="69" t="inlineStr">
        <is>
          <t>00_Index</t>
        </is>
      </c>
      <c r="E17" s="69" t="inlineStr">
        <is>
          <t>目次・目的・更新日・前提の要約</t>
        </is>
      </c>
      <c r="F17" s="77" t="inlineStr">
        <is>
          <t>案内</t>
        </is>
      </c>
    </row>
    <row r="18" ht="13.5" customHeight="1">
      <c r="D18" s="72" t="inlineStr">
        <is>
          <t>01_Assumption</t>
        </is>
      </c>
      <c r="E18" s="72" t="inlineStr">
        <is>
          <t>前提条件・置き値（青字入力を集約）</t>
        </is>
      </c>
      <c r="F18" s="79" t="inlineStr">
        <is>
          <t>入力</t>
        </is>
      </c>
    </row>
    <row r="19" ht="13.5" customHeight="1">
      <c r="D19" s="72" t="inlineStr">
        <is>
          <t>02_RawData</t>
        </is>
      </c>
      <c r="E19" s="72" t="inlineStr">
        <is>
          <t>加工前の元データ（触らない）</t>
        </is>
      </c>
      <c r="F19" s="79" t="inlineStr">
        <is>
          <t>元データ</t>
        </is>
      </c>
    </row>
    <row r="20" ht="13.5" customHeight="1">
      <c r="D20" s="72" t="inlineStr">
        <is>
          <t>03_Master</t>
        </is>
      </c>
      <c r="E20" s="72" t="inlineStr">
        <is>
          <t>施設・OTAなどのマスタ</t>
        </is>
      </c>
      <c r="F20" s="79" t="inlineStr">
        <is>
          <t>マスタ</t>
        </is>
      </c>
    </row>
    <row r="21" ht="13.5" customHeight="1">
      <c r="D21" s="72" t="inlineStr">
        <is>
          <t>04_Calculation</t>
        </is>
      </c>
      <c r="E21" s="72" t="inlineStr">
        <is>
          <t>集計・計算ロジック</t>
        </is>
      </c>
      <c r="F21" s="79" t="inlineStr">
        <is>
          <t>計算</t>
        </is>
      </c>
    </row>
    <row r="22" ht="13.5" customHeight="1">
      <c r="D22" s="72" t="inlineStr">
        <is>
          <t>05_Output</t>
        </is>
      </c>
      <c r="E22" s="72" t="inlineStr">
        <is>
          <t>結果表・KPI</t>
        </is>
      </c>
      <c r="F22" s="79" t="inlineStr">
        <is>
          <t>出力</t>
        </is>
      </c>
    </row>
    <row r="23" ht="13.5" customHeight="1">
      <c r="D23" s="74" t="inlineStr">
        <is>
          <t>06_Check</t>
        </is>
      </c>
      <c r="E23" s="74" t="inlineStr">
        <is>
          <t>エラーチェック・整合性確認</t>
        </is>
      </c>
      <c r="F23" s="83" t="inlineStr">
        <is>
          <t>検証</t>
        </is>
      </c>
    </row>
    <row r="24" ht="13.5" customHeight="1"/>
    <row r="25" ht="13.5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5.36328125" bestFit="1" customWidth="1" min="4" max="4"/>
    <col width="14" customWidth="1" min="5" max="5"/>
    <col width="10" customWidth="1" min="6" max="6"/>
  </cols>
  <sheetData>
    <row r="2" ht="19.5" customHeight="1">
      <c r="B2" s="64" t="inlineStr">
        <is>
          <t>01_Assumption ― 前提条件（青字が入力）</t>
        </is>
      </c>
    </row>
    <row r="3" ht="13.5" customHeight="1"/>
    <row r="4" ht="13.5" customHeight="1"/>
    <row r="5" ht="13.5" customHeight="1">
      <c r="D5" s="66" t="inlineStr">
        <is>
          <t>前提・置き値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値</t>
        </is>
      </c>
      <c r="F7" s="68" t="inlineStr">
        <is>
          <t>単位</t>
        </is>
      </c>
    </row>
    <row r="8" ht="13.5" customHeight="1">
      <c r="D8" s="109" t="inlineStr">
        <is>
          <t>消費税率</t>
        </is>
      </c>
      <c r="E8" s="191" t="n">
        <v>0.1</v>
      </c>
      <c r="F8" s="68" t="n"/>
    </row>
    <row r="9" ht="13.5" customHeight="1">
      <c r="D9" s="109" t="inlineStr">
        <is>
          <t>集計対象月・開始</t>
        </is>
      </c>
      <c r="E9" s="166" t="n">
        <v>7</v>
      </c>
      <c r="F9" s="68" t="inlineStr">
        <is>
          <t>月</t>
        </is>
      </c>
    </row>
    <row r="10" ht="13.5" customHeight="1">
      <c r="D10" s="109" t="inlineStr">
        <is>
          <t>集計対象月・終了</t>
        </is>
      </c>
      <c r="E10" s="166" t="n">
        <v>8</v>
      </c>
      <c r="F10" s="68" t="inlineStr">
        <is>
          <t>月</t>
        </is>
      </c>
    </row>
    <row r="11" ht="13.5" customHeight="1">
      <c r="D11" s="109" t="inlineStr">
        <is>
          <t>目標稼働率</t>
        </is>
      </c>
      <c r="E11" s="191" t="n">
        <v>0.7</v>
      </c>
      <c r="F11" s="68" t="n"/>
    </row>
    <row r="12" ht="13.5" customHeight="1"/>
    <row r="13" ht="13.5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7"/>
  <sheetViews>
    <sheetView showGridLines="0" workbookViewId="0">
      <selection activeCell="D4" sqref="D4"/>
    </sheetView>
  </sheetViews>
  <sheetFormatPr baseColWidth="8" defaultRowHeight="13"/>
  <cols>
    <col width="2.36328125" customWidth="1" min="1" max="3"/>
    <col width="10" customWidth="1" min="4" max="5"/>
    <col width="7" customWidth="1" min="6" max="6"/>
    <col width="14" customWidth="1" min="7" max="7"/>
    <col width="9" customWidth="1" min="8" max="8"/>
    <col width="14" customWidth="1" min="9" max="9"/>
  </cols>
  <sheetData>
    <row r="2" ht="19.5" customHeight="1">
      <c r="B2" s="64" t="inlineStr">
        <is>
          <t>02_RawData ― 元データ（加工しない）</t>
        </is>
      </c>
    </row>
    <row r="3" ht="13.5" customHeight="1"/>
    <row r="4" ht="13.5" customHeight="1">
      <c r="D4" s="3" t="inlineStr">
        <is>
          <t>このシートは元データ。数式や加工を入れず、そのまま保持する。</t>
        </is>
      </c>
    </row>
    <row r="5" ht="13.5" customHeight="1">
      <c r="D5" s="66" t="inlineStr">
        <is>
          <t>元データ（予約明細）</t>
        </is>
      </c>
      <c r="E5" s="67" t="n"/>
      <c r="F5" s="67" t="n"/>
      <c r="G5" s="67" t="n"/>
      <c r="H5" s="67" t="n"/>
      <c r="I5" s="67" t="n"/>
    </row>
    <row r="6" ht="13.5" customHeight="1"/>
    <row r="7" ht="13.5" customHeight="1">
      <c r="D7" s="148" t="inlineStr">
        <is>
          <t>予約ID</t>
        </is>
      </c>
      <c r="E7" s="148" t="inlineStr">
        <is>
          <t>施設</t>
        </is>
      </c>
      <c r="F7" s="148" t="inlineStr">
        <is>
          <t>月</t>
        </is>
      </c>
      <c r="G7" s="148" t="inlineStr">
        <is>
          <t>客室タイプ</t>
        </is>
      </c>
      <c r="H7" s="148" t="inlineStr">
        <is>
          <t>泊数</t>
        </is>
      </c>
      <c r="I7" s="148" t="inlineStr">
        <is>
          <t>売上税抜(円)</t>
        </is>
      </c>
    </row>
    <row r="8" ht="13.5" customHeight="1">
      <c r="D8" s="148" t="inlineStr">
        <is>
          <t>R001</t>
        </is>
      </c>
      <c r="E8" s="148" t="inlineStr">
        <is>
          <t>西伊豆</t>
        </is>
      </c>
      <c r="F8" s="148" t="n">
        <v>7</v>
      </c>
      <c r="G8" s="148" t="inlineStr">
        <is>
          <t>スイート</t>
        </is>
      </c>
      <c r="H8" s="148" t="n">
        <v>2</v>
      </c>
      <c r="I8" s="148" t="n">
        <v>160000</v>
      </c>
    </row>
    <row r="9" ht="13.5" customHeight="1">
      <c r="D9" s="148" t="inlineStr">
        <is>
          <t>R002</t>
        </is>
      </c>
      <c r="E9" s="148" t="inlineStr">
        <is>
          <t>西伊豆</t>
        </is>
      </c>
      <c r="F9" s="148" t="n">
        <v>7</v>
      </c>
      <c r="G9" s="148" t="inlineStr">
        <is>
          <t>スタンダード</t>
        </is>
      </c>
      <c r="H9" s="148" t="n">
        <v>3</v>
      </c>
      <c r="I9" s="148" t="n">
        <v>108000</v>
      </c>
    </row>
    <row r="10" ht="13.5" customHeight="1">
      <c r="D10" s="148" t="inlineStr">
        <is>
          <t>R003</t>
        </is>
      </c>
      <c r="E10" s="148" t="inlineStr">
        <is>
          <t>熱海</t>
        </is>
      </c>
      <c r="F10" s="148" t="n">
        <v>7</v>
      </c>
      <c r="G10" s="148" t="inlineStr">
        <is>
          <t>スタンダード</t>
        </is>
      </c>
      <c r="H10" s="148" t="n">
        <v>2</v>
      </c>
      <c r="I10" s="148" t="n">
        <v>72000</v>
      </c>
    </row>
    <row r="11" ht="13.5" customHeight="1">
      <c r="D11" s="148" t="inlineStr">
        <is>
          <t>R004</t>
        </is>
      </c>
      <c r="E11" s="148" t="inlineStr">
        <is>
          <t>西伊豆</t>
        </is>
      </c>
      <c r="F11" s="148" t="n">
        <v>8</v>
      </c>
      <c r="G11" s="148" t="inlineStr">
        <is>
          <t>スイート</t>
        </is>
      </c>
      <c r="H11" s="148" t="n">
        <v>2</v>
      </c>
      <c r="I11" s="148" t="n">
        <v>180000</v>
      </c>
    </row>
    <row r="12" ht="13.5" customHeight="1">
      <c r="D12" s="148" t="inlineStr">
        <is>
          <t>R005</t>
        </is>
      </c>
      <c r="E12" s="148" t="inlineStr">
        <is>
          <t>熱海</t>
        </is>
      </c>
      <c r="F12" s="148" t="n">
        <v>8</v>
      </c>
      <c r="G12" s="148" t="inlineStr">
        <is>
          <t>スイート</t>
        </is>
      </c>
      <c r="H12" s="148" t="n">
        <v>1</v>
      </c>
      <c r="I12" s="148" t="n">
        <v>95000</v>
      </c>
    </row>
    <row r="13" ht="13.5" customHeight="1">
      <c r="D13" s="148" t="inlineStr">
        <is>
          <t>R006</t>
        </is>
      </c>
      <c r="E13" s="148" t="inlineStr">
        <is>
          <t>西伊豆</t>
        </is>
      </c>
      <c r="F13" s="148" t="n">
        <v>7</v>
      </c>
      <c r="G13" s="148" t="inlineStr">
        <is>
          <t>スタンダード</t>
        </is>
      </c>
      <c r="H13" s="148" t="n">
        <v>1</v>
      </c>
      <c r="I13" s="148" t="n">
        <v>36000</v>
      </c>
    </row>
    <row r="14" ht="13.5" customHeight="1">
      <c r="D14" s="148" t="inlineStr">
        <is>
          <t>R007</t>
        </is>
      </c>
      <c r="E14" s="148" t="inlineStr">
        <is>
          <t>熱海</t>
        </is>
      </c>
      <c r="F14" s="148" t="n">
        <v>8</v>
      </c>
      <c r="G14" s="148" t="inlineStr">
        <is>
          <t>スタンダード</t>
        </is>
      </c>
      <c r="H14" s="148" t="n">
        <v>4</v>
      </c>
      <c r="I14" s="148" t="n">
        <v>152000</v>
      </c>
    </row>
    <row r="15" ht="13.5" customHeight="1">
      <c r="D15" s="148" t="inlineStr">
        <is>
          <t>R008</t>
        </is>
      </c>
      <c r="E15" s="148" t="inlineStr">
        <is>
          <t>西伊豆</t>
        </is>
      </c>
      <c r="F15" s="148" t="n">
        <v>8</v>
      </c>
      <c r="G15" s="148" t="inlineStr">
        <is>
          <t>スタンダード</t>
        </is>
      </c>
      <c r="H15" s="148" t="n">
        <v>2</v>
      </c>
      <c r="I15" s="148" t="n">
        <v>74000</v>
      </c>
    </row>
    <row r="16" ht="13.5" customHeight="1">
      <c r="D16" s="148" t="inlineStr">
        <is>
          <t>R009</t>
        </is>
      </c>
      <c r="E16" s="148" t="inlineStr">
        <is>
          <t>熱海</t>
        </is>
      </c>
      <c r="F16" s="148" t="n">
        <v>7</v>
      </c>
      <c r="G16" s="148" t="inlineStr">
        <is>
          <t>スイート</t>
        </is>
      </c>
      <c r="H16" s="148" t="n">
        <v>1</v>
      </c>
      <c r="I16" s="148" t="n">
        <v>92000</v>
      </c>
    </row>
    <row r="17" ht="13.5" customHeight="1">
      <c r="D17" s="148" t="inlineStr">
        <is>
          <t>R010</t>
        </is>
      </c>
      <c r="E17" s="148" t="inlineStr">
        <is>
          <t>西伊豆</t>
        </is>
      </c>
      <c r="F17" s="148" t="n">
        <v>8</v>
      </c>
      <c r="G17" s="148" t="inlineStr">
        <is>
          <t>スイート</t>
        </is>
      </c>
      <c r="H17" s="148" t="n">
        <v>3</v>
      </c>
      <c r="I17" s="148" t="n">
        <v>270000</v>
      </c>
    </row>
    <row r="18" ht="13.5" customHeight="1"/>
    <row r="19" ht="13.5" customHeight="1"/>
    <row r="20" ht="13.5" customHeight="1"/>
    <row r="21" ht="13.5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2" customWidth="1" min="4" max="5"/>
    <col width="10" customWidth="1" min="6" max="6"/>
  </cols>
  <sheetData>
    <row r="2" ht="19.5" customHeight="1">
      <c r="B2" s="64" t="inlineStr">
        <is>
          <t>03_Master ― マスタ</t>
        </is>
      </c>
    </row>
    <row r="3" ht="13.5" customHeight="1"/>
    <row r="4" ht="13.5" customHeight="1">
      <c r="D4" s="3" t="n"/>
    </row>
    <row r="5" ht="13.5" customHeight="1">
      <c r="D5" s="66" t="inlineStr">
        <is>
          <t>施設マスタ</t>
        </is>
      </c>
      <c r="E5" s="67" t="n"/>
      <c r="F5" s="67" t="n"/>
    </row>
    <row r="6" ht="13.5" customHeight="1"/>
    <row r="7" ht="13.5" customHeight="1">
      <c r="D7" s="68" t="inlineStr">
        <is>
          <t>施設</t>
        </is>
      </c>
      <c r="E7" s="68" t="inlineStr">
        <is>
          <t>客室数(室)</t>
        </is>
      </c>
      <c r="F7" s="68" t="inlineStr">
        <is>
          <t>エリア</t>
        </is>
      </c>
    </row>
    <row r="8" ht="13.5" customHeight="1">
      <c r="D8" s="162" t="inlineStr">
        <is>
          <t>西伊豆</t>
        </is>
      </c>
      <c r="E8" s="163" t="n">
        <v>20</v>
      </c>
      <c r="F8" s="164" t="inlineStr">
        <is>
          <t>静岡</t>
        </is>
      </c>
    </row>
    <row r="9" ht="13.5" customHeight="1">
      <c r="D9" s="162" t="inlineStr">
        <is>
          <t>熱海</t>
        </is>
      </c>
      <c r="E9" s="163" t="n">
        <v>15</v>
      </c>
      <c r="F9" s="164" t="inlineStr">
        <is>
          <t>静岡</t>
        </is>
      </c>
    </row>
    <row r="10" ht="13.5" customHeight="1">
      <c r="D10" s="162" t="n"/>
      <c r="E10" s="163" t="n"/>
      <c r="F10" s="164" t="n"/>
    </row>
    <row r="11" ht="13.5" customHeight="1">
      <c r="D11" s="162" t="n"/>
      <c r="E11" s="163" t="n"/>
      <c r="F11" s="164" t="n"/>
    </row>
    <row r="12" ht="13.5" customHeight="1">
      <c r="D12" s="162" t="n"/>
      <c r="E12" s="163" t="n"/>
      <c r="F12" s="164" t="n"/>
    </row>
    <row r="13" ht="13.5" customHeight="1">
      <c r="D13" s="162" t="n"/>
      <c r="E13" s="163" t="n"/>
      <c r="F13" s="16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F8" sqref="F8"/>
    </sheetView>
  </sheetViews>
  <sheetFormatPr baseColWidth="8" defaultRowHeight="13"/>
  <cols>
    <col width="2.36328125" customWidth="1" min="1" max="3"/>
    <col width="12" customWidth="1" min="4" max="4"/>
    <col width="14" customWidth="1" min="5" max="6"/>
    <col width="12" customWidth="1" min="7" max="7"/>
    <col width="14" customWidth="1" min="8" max="8"/>
  </cols>
  <sheetData>
    <row r="2" ht="19.5" customHeight="1">
      <c r="B2" s="64" t="inlineStr">
        <is>
          <t>04_Calculation ― 集計（RawData/Masterを参照）</t>
        </is>
      </c>
    </row>
    <row r="3" ht="13.5" customHeight="1"/>
    <row r="4" ht="13.5" customHeight="1"/>
    <row r="5" ht="13.5" customHeight="1">
      <c r="D5" s="66" t="inlineStr">
        <is>
          <t>施設別 売上集計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施設</t>
        </is>
      </c>
      <c r="E7" s="68" t="inlineStr">
        <is>
          <t>売上計(円)</t>
        </is>
      </c>
      <c r="F7" s="138" t="inlineStr">
        <is>
          <t>売上構成%</t>
        </is>
      </c>
      <c r="G7" s="68" t="inlineStr">
        <is>
          <t>客室数(室)</t>
        </is>
      </c>
      <c r="H7" s="68" t="inlineStr">
        <is>
          <t>1室売上(円)</t>
        </is>
      </c>
    </row>
    <row r="8" ht="13.5" customHeight="1">
      <c r="D8" s="69" t="inlineStr">
        <is>
          <t>西伊豆</t>
        </is>
      </c>
      <c r="E8" s="85">
        <f>SUMIFS('02_RawData'!$I$8:$I$17,'02_RawData'!$E$8:$E$17,D8)</f>
        <v/>
      </c>
      <c r="F8" s="192">
        <f>E8/$E$10</f>
        <v/>
      </c>
      <c r="G8" s="85">
        <f>SUMIFS('03_Master'!$E$8:$E$9,'03_Master'!$D$8:$D$9,D8)</f>
        <v/>
      </c>
      <c r="H8" s="70">
        <f>E8/G8</f>
        <v/>
      </c>
    </row>
    <row r="9" ht="13.5" customHeight="1">
      <c r="D9" s="123" t="inlineStr">
        <is>
          <t>熱海</t>
        </is>
      </c>
      <c r="E9" s="108">
        <f>SUMIFS('02_RawData'!$I$8:$I$17,'02_RawData'!$E$8:$E$17,D9)</f>
        <v/>
      </c>
      <c r="F9" s="193">
        <f>E9/$E$10</f>
        <v/>
      </c>
      <c r="G9" s="108">
        <f>SUMIFS('03_Master'!$E$8:$E$9,'03_Master'!$D$8:$D$9,D9)</f>
        <v/>
      </c>
      <c r="H9" s="149">
        <f>E9/G9</f>
        <v/>
      </c>
    </row>
    <row r="10" ht="13.5" customHeight="1">
      <c r="D10" s="112" t="inlineStr">
        <is>
          <t>合計</t>
        </is>
      </c>
      <c r="E10" s="119">
        <f>SUM(E8:E9)</f>
        <v/>
      </c>
      <c r="F10" s="194">
        <f>E10/$E$10</f>
        <v/>
      </c>
      <c r="G10" s="119">
        <f>SUM(G8:G9)</f>
        <v/>
      </c>
      <c r="H10" s="119" t="n"/>
    </row>
    <row r="11" ht="13.5" customHeight="1"/>
    <row r="12" ht="13.5" customHeight="1"/>
    <row r="13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E10" sqref="E10"/>
    </sheetView>
  </sheetViews>
  <sheetFormatPr baseColWidth="8" defaultRowHeight="13"/>
  <cols>
    <col width="2.36328125" customWidth="1" min="1" max="3"/>
    <col width="16" customWidth="1" min="4" max="5"/>
  </cols>
  <sheetData>
    <row r="2" ht="19.5" customHeight="1">
      <c r="B2" s="64" t="inlineStr">
        <is>
          <t>05_Output ― KPI（Calculationを参照）</t>
        </is>
      </c>
    </row>
    <row r="3" ht="13.5" customHeight="1"/>
    <row r="4" ht="13.5" customHeight="1"/>
    <row r="5" ht="13.5" customHeight="1">
      <c r="D5" s="66" t="inlineStr">
        <is>
          <t>主要KPI</t>
        </is>
      </c>
      <c r="E5" s="67" t="n"/>
    </row>
    <row r="6" ht="13.5" customHeight="1"/>
    <row r="7" ht="13.5" customHeight="1">
      <c r="D7" s="68" t="inlineStr">
        <is>
          <t>KPI</t>
        </is>
      </c>
      <c r="E7" s="68" t="inlineStr">
        <is>
          <t>値</t>
        </is>
      </c>
    </row>
    <row r="8" ht="13.5" customHeight="1">
      <c r="D8" s="111" t="inlineStr">
        <is>
          <t>総売上(円)</t>
        </is>
      </c>
      <c r="E8" s="125">
        <f>'04_Calculation'!E10</f>
        <v/>
      </c>
    </row>
    <row r="9" ht="13.5" customHeight="1">
      <c r="D9" s="109" t="n"/>
      <c r="E9" s="110" t="n"/>
    </row>
    <row r="10" ht="13.5" customHeight="1">
      <c r="D10" s="69" t="inlineStr">
        <is>
          <t>西伊豆 構成比</t>
        </is>
      </c>
      <c r="E10" s="195">
        <f>'04_Calculation'!F8</f>
        <v/>
      </c>
    </row>
    <row r="11" ht="13.5" customHeight="1">
      <c r="D11" s="74" t="inlineStr">
        <is>
          <t>熱海 構成比</t>
        </is>
      </c>
      <c r="E11" s="196">
        <f>'04_Calculation'!F9</f>
        <v/>
      </c>
    </row>
    <row r="12" ht="13.5" customHeight="1"/>
    <row r="13" ht="13.5" customHeight="1"/>
    <row r="14" ht="13.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D10" sqref="D10"/>
    </sheetView>
  </sheetViews>
  <sheetFormatPr baseColWidth="8" defaultRowHeight="13"/>
  <cols>
    <col width="2.36328125" customWidth="1" min="1" max="3"/>
    <col width="28" customWidth="1" min="4" max="4"/>
    <col width="14" customWidth="1" min="5" max="7"/>
    <col width="10" customWidth="1" min="8" max="8"/>
  </cols>
  <sheetData>
    <row r="2" ht="19.5" customHeight="1">
      <c r="B2" s="64" t="inlineStr">
        <is>
          <t>06_Check ― 整合性チェック</t>
        </is>
      </c>
    </row>
    <row r="3" ht="13.5" customHeight="1"/>
    <row r="4" ht="13.5" customHeight="1">
      <c r="D4" s="3" t="inlineStr">
        <is>
          <t>判定がすべてOKなら、集計は元データと整合。1つでも要確認なら原因を追う。</t>
        </is>
      </c>
    </row>
    <row r="5" ht="13.5" customHeight="1">
      <c r="D5" s="66" t="inlineStr">
        <is>
          <t>チェック項目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チェック項目</t>
        </is>
      </c>
      <c r="E7" s="68" t="inlineStr">
        <is>
          <t>値A</t>
        </is>
      </c>
      <c r="F7" s="68" t="inlineStr">
        <is>
          <t>値B</t>
        </is>
      </c>
      <c r="G7" s="68" t="n"/>
      <c r="H7" s="68" t="inlineStr">
        <is>
          <t>判定</t>
        </is>
      </c>
    </row>
    <row r="8" ht="13.5" customHeight="1">
      <c r="D8" s="69" t="inlineStr">
        <is>
          <t>元データ件数 = 集計対象件数</t>
        </is>
      </c>
      <c r="E8" s="157">
        <f>COUNTA('02_RawData'!$D$8:$D$17)</f>
        <v/>
      </c>
      <c r="F8" s="155" t="n">
        <v>10</v>
      </c>
      <c r="G8" s="197">
        <f>F8-E8</f>
        <v/>
      </c>
      <c r="H8" s="87">
        <f>IF(G8&lt;0.0001,"OK","要確認")</f>
        <v/>
      </c>
    </row>
    <row r="9" ht="13.5" customHeight="1">
      <c r="D9" s="72" t="inlineStr">
        <is>
          <t>施設別売上合計 = 総売上</t>
        </is>
      </c>
      <c r="E9" s="105">
        <f>'04_Calculation'!E8+'04_Calculation'!E9</f>
        <v/>
      </c>
      <c r="F9" s="105">
        <f>'04_Calculation'!E10</f>
        <v/>
      </c>
      <c r="G9" s="198">
        <f>F9-E9</f>
        <v/>
      </c>
      <c r="H9" s="88">
        <f>IF(G9&lt;0.0001,"OK","要確認")</f>
        <v/>
      </c>
    </row>
    <row r="10" ht="13.5" customHeight="1">
      <c r="D10" s="74" t="inlineStr">
        <is>
          <t>構成比合計 = 100%</t>
        </is>
      </c>
      <c r="E10" s="199">
        <f>'05_Output'!E10+'05_Output'!E11</f>
        <v/>
      </c>
      <c r="F10" s="200" t="n">
        <v>1</v>
      </c>
      <c r="G10" s="201">
        <f>F10-E10</f>
        <v/>
      </c>
      <c r="H10" s="89">
        <f>IF(G10&lt;0.0001,"OK","要確認")</f>
        <v/>
      </c>
    </row>
    <row r="11" ht="13.5" customHeight="1"/>
    <row r="12" ht="13.5" customHeight="1"/>
    <row r="13" ht="13.5" customHeight="1"/>
  </sheetData>
  <conditionalFormatting sqref="H8:H10">
    <cfRule type="cellIs" priority="1" operator="equal" dxfId="1">
      <formula>"OK"</formula>
    </cfRule>
    <cfRule type="cellIs" priority="2" operator="equal" dxfId="0">
      <formula>"要確認"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2026-07-21T03:37:37Z</dcterms:modified>
  <cp:lastModifiedBy>ARTH.inc</cp:lastModifiedBy>
</cp:coreProperties>
</file>