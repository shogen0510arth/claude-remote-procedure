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-2-2_スピル関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002060"/>
      <sz val="14"/>
    </font>
    <font>
      <color rgb="FFFF0000"/>
      <sz val="9"/>
    </font>
    <font>
      <b val="1"/>
      <color rgb="FFFFFFFF"/>
      <sz val="10"/>
    </font>
    <font>
      <b val="1"/>
      <color rgb="FF000000"/>
      <sz val="10"/>
    </font>
    <font>
      <color rgb="FF000000"/>
      <sz val="10"/>
    </font>
  </fonts>
  <fills count="6">
    <fill>
      <patternFill/>
    </fill>
    <fill>
      <patternFill patternType="gray125"/>
    </fill>
    <fill>
      <patternFill patternType="solid">
        <fgColor rgb="001F3F51"/>
      </patternFill>
    </fill>
    <fill>
      <patternFill patternType="solid">
        <fgColor rgb="FFDDE7F0"/>
      </patternFill>
    </fill>
    <fill>
      <patternFill patternType="solid">
        <fgColor rgb="FFEAF1FB"/>
      </patternFill>
    </fill>
    <fill>
      <patternFill patternType="solid">
        <fgColor rgb="FFFFF6D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5" fillId="4" borderId="1" pivotButton="0" quotePrefix="0" xfId="0"/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  <xf numFmtId="0" fontId="5" fillId="5" borderId="1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30"/>
  <sheetViews>
    <sheetView workbookViewId="0">
      <selection activeCell="A1" sqref="A1"/>
    </sheetView>
  </sheetViews>
  <sheetFormatPr baseColWidth="8" defaultRowHeight="15"/>
  <cols>
    <col width="2.4" customWidth="1" min="1" max="1"/>
    <col width="11" customWidth="1" min="2" max="2"/>
    <col width="16" customWidth="1" min="3" max="3"/>
    <col width="9" customWidth="1" min="4" max="4"/>
    <col width="12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  <col width="14" customWidth="1" min="11" max="11"/>
  </cols>
  <sheetData>
    <row r="2">
      <c r="B2" s="1" t="inlineStr">
        <is>
          <t>2-2-2. データ加工・クリーニング ― スピル関数系（UNIQUE / FILTER / SORTBY / TOCOL / TOROW / DROP / TEXTSPLIT / SEQUENCE）</t>
        </is>
      </c>
    </row>
    <row r="3">
      <c r="B3" s="2" t="inlineStr">
        <is>
          <t>各「数式」セル（青）はExcelで開くと自動計算し、下方向・右方向にスピル（spill）します。※動的配列に対応した Microsoft 365 が必要です。</t>
        </is>
      </c>
    </row>
    <row r="6">
      <c r="B6" s="3" t="inlineStr">
        <is>
          <t>【元データ】予約明細（空白セルと『合計』行をわざと含む）</t>
        </is>
      </c>
    </row>
    <row r="7">
      <c r="B7" s="4" t="inlineStr">
        <is>
          <t>予約ID</t>
        </is>
      </c>
      <c r="C7" s="4" t="inlineStr">
        <is>
          <t>予約経路</t>
        </is>
      </c>
      <c r="D7" s="4" t="inlineStr">
        <is>
          <t>区分</t>
        </is>
      </c>
      <c r="E7" s="4" t="inlineStr">
        <is>
          <t>売上</t>
        </is>
      </c>
    </row>
    <row r="8">
      <c r="B8" s="5" t="inlineStr">
        <is>
          <t>R001</t>
        </is>
      </c>
      <c r="C8" s="6" t="inlineStr">
        <is>
          <t>楽天トラベル</t>
        </is>
      </c>
      <c r="D8" s="5" t="inlineStr">
        <is>
          <t>国内</t>
        </is>
      </c>
      <c r="E8" s="7" t="n">
        <v>160000</v>
      </c>
    </row>
    <row r="9">
      <c r="B9" s="5" t="inlineStr">
        <is>
          <t>R002</t>
        </is>
      </c>
      <c r="C9" s="6" t="inlineStr">
        <is>
          <t>じゃらん</t>
        </is>
      </c>
      <c r="D9" s="5" t="inlineStr">
        <is>
          <t>国内</t>
        </is>
      </c>
      <c r="E9" s="7" t="n">
        <v>108000</v>
      </c>
    </row>
    <row r="10">
      <c r="B10" s="5" t="inlineStr">
        <is>
          <t>R003</t>
        </is>
      </c>
      <c r="C10" s="6" t="inlineStr">
        <is>
          <t>Booking.com</t>
        </is>
      </c>
      <c r="D10" s="5" t="inlineStr">
        <is>
          <t>海外</t>
        </is>
      </c>
      <c r="E10" s="7" t="n">
        <v>72000</v>
      </c>
    </row>
    <row r="11">
      <c r="B11" s="5" t="inlineStr">
        <is>
          <t>R004</t>
        </is>
      </c>
      <c r="C11" s="6" t="n"/>
      <c r="D11" s="5" t="inlineStr">
        <is>
          <t>国内</t>
        </is>
      </c>
      <c r="E11" s="7" t="n">
        <v>180000</v>
      </c>
    </row>
    <row r="12">
      <c r="B12" s="5" t="inlineStr">
        <is>
          <t>R005</t>
        </is>
      </c>
      <c r="C12" s="6" t="inlineStr">
        <is>
          <t>公式サイト</t>
        </is>
      </c>
      <c r="D12" s="5" t="inlineStr">
        <is>
          <t>国内</t>
        </is>
      </c>
      <c r="E12" s="7" t="n">
        <v>95000</v>
      </c>
    </row>
    <row r="13">
      <c r="B13" s="5" t="inlineStr">
        <is>
          <t>R006</t>
        </is>
      </c>
      <c r="C13" s="6" t="inlineStr">
        <is>
          <t>じゃらん</t>
        </is>
      </c>
      <c r="D13" s="5" t="inlineStr">
        <is>
          <t>国内</t>
        </is>
      </c>
      <c r="E13" s="7" t="n">
        <v>36000</v>
      </c>
    </row>
    <row r="14">
      <c r="B14" s="5" t="inlineStr">
        <is>
          <t>R007</t>
        </is>
      </c>
      <c r="C14" s="6" t="inlineStr">
        <is>
          <t>Expedia</t>
        </is>
      </c>
      <c r="D14" s="5" t="inlineStr">
        <is>
          <t>海外</t>
        </is>
      </c>
      <c r="E14" s="7" t="n">
        <v>152000</v>
      </c>
    </row>
    <row r="15">
      <c r="B15" s="5" t="inlineStr">
        <is>
          <t>R008</t>
        </is>
      </c>
      <c r="C15" s="6" t="n"/>
      <c r="D15" s="5" t="inlineStr">
        <is>
          <t>海外</t>
        </is>
      </c>
      <c r="E15" s="7" t="n">
        <v>74000</v>
      </c>
    </row>
    <row r="16">
      <c r="B16" s="5" t="inlineStr">
        <is>
          <t>R009</t>
        </is>
      </c>
      <c r="C16" s="6" t="inlineStr">
        <is>
          <t>楽天トラベル</t>
        </is>
      </c>
      <c r="D16" s="5" t="inlineStr">
        <is>
          <t>国内</t>
        </is>
      </c>
      <c r="E16" s="7" t="n">
        <v>92000</v>
      </c>
    </row>
    <row r="17">
      <c r="B17" s="5" t="inlineStr">
        <is>
          <t>—</t>
        </is>
      </c>
      <c r="C17" s="6" t="inlineStr">
        <is>
          <t>合計</t>
        </is>
      </c>
      <c r="D17" s="5" t="inlineStr">
        <is>
          <t>—</t>
        </is>
      </c>
      <c r="E17" s="7" t="n">
        <v>969000</v>
      </c>
    </row>
    <row r="19">
      <c r="B19" s="2" t="inlineStr">
        <is>
          <t>※ C11・C15 が空白、C17 が『合計』。これらを除いて“実データのみ”を取り出すのが下の例です。</t>
        </is>
      </c>
    </row>
    <row r="22">
      <c r="B22" s="3" t="inlineStr">
        <is>
          <t>① UNIQUE + TOCOL ｜ 空白を集計しない</t>
        </is>
      </c>
    </row>
    <row r="23">
      <c r="B23" s="2" t="inlineStr">
        <is>
          <t>TOCOL(範囲,1) で1列に畳みつつ空白を無視 → UNIQUE で重複除去。</t>
        </is>
      </c>
    </row>
    <row r="24">
      <c r="B24" s="8">
        <f>UNIQUE(TOCOL(C8:C17,1))</f>
        <v/>
      </c>
    </row>
    <row r="34">
      <c r="B34" s="3" t="inlineStr">
        <is>
          <t>② UNIQUE + TOCOL + FILTER ｜ 空白＋特定セル(合計)を除外＝実データのみ</t>
        </is>
      </c>
    </row>
    <row r="35">
      <c r="B35" s="2" t="inlineStr">
        <is>
          <t>FILTER で『合計』を除外 → TOCOL(,1) で空白無視 → UNIQUE。</t>
        </is>
      </c>
    </row>
    <row r="36">
      <c r="B36" s="8">
        <f>UNIQUE(TOCOL(FILTER(C8:C17,C8:C17&lt;&gt;"合計"),1))</f>
        <v/>
      </c>
    </row>
    <row r="46">
      <c r="B46" s="3" t="inlineStr">
        <is>
          <t>③ UNIQUE + TOCOL + DROP ｜ 空白＋先頭の任意行を除外</t>
        </is>
      </c>
    </row>
    <row r="47">
      <c r="B47" s="2" t="inlineStr">
        <is>
          <t>DROP(範囲,3) で先頭3行を落とす → TOCOL(,1) → UNIQUE。ヘッダや前置き行を飛ばす用途。</t>
        </is>
      </c>
    </row>
    <row r="48">
      <c r="B48" s="8">
        <f>UNIQUE(TOCOL(DROP(C8:C17,3),1))</f>
        <v/>
      </c>
    </row>
    <row r="58">
      <c r="B58" s="3" t="inlineStr">
        <is>
          <t>④ ③ + SORTBY ｜ さらに任意の順で並べ替え（ここでは降順）</t>
        </is>
      </c>
    </row>
    <row r="59">
      <c r="B59" s="2" t="inlineStr">
        <is>
          <t>SORTBY(結果, 並べ替えキー, -1)。キー配列を差し替えれば任意の順に。</t>
        </is>
      </c>
    </row>
    <row r="60">
      <c r="B60" s="8">
        <f>SORTBY(UNIQUE(TOCOL(DROP(C8:C17,3),1)),UNIQUE(TOCOL(DROP(C8:C17,3),1)),-1)</f>
        <v/>
      </c>
    </row>
    <row r="70">
      <c r="B70" s="3" t="inlineStr">
        <is>
          <t>⑤ FILTER + SORTBY ｜ ヘッダー行を除いて抽出→売上の降順</t>
        </is>
      </c>
    </row>
    <row r="71">
      <c r="B71" s="2" t="inlineStr">
        <is>
          <t>参照をB8(見出しの下)から始めるとヘッダーは自然に除外。空白行はFILTERで除外し、SORTBYで売上降順。</t>
        </is>
      </c>
    </row>
    <row r="72">
      <c r="B72" s="8">
        <f>SORTBY(FILTER(B8:E16,C8:C16&lt;&gt;""),FILTER(E8:E16,C8:C16&lt;&gt;""),-1)</f>
        <v/>
      </c>
    </row>
    <row r="82">
      <c r="B82" s="3" t="inlineStr">
        <is>
          <t>⑥ TOCOL / TOROW ｜ データの縦横を変換</t>
        </is>
      </c>
    </row>
    <row r="83">
      <c r="B83" s="2" t="inlineStr">
        <is>
          <t>TOCOL＝横→縦、TOROW＝縦→横。貼り付け方向を直したい時に。</t>
        </is>
      </c>
    </row>
    <row r="84">
      <c r="B84" s="9" t="inlineStr">
        <is>
          <t>横入力→</t>
        </is>
      </c>
      <c r="C84" s="10" t="inlineStr">
        <is>
          <t>月</t>
        </is>
      </c>
      <c r="D84" s="10" t="inlineStr">
        <is>
          <t>火</t>
        </is>
      </c>
      <c r="E84" s="10" t="inlineStr">
        <is>
          <t>水</t>
        </is>
      </c>
      <c r="F84" s="10" t="inlineStr">
        <is>
          <t>木</t>
        </is>
      </c>
      <c r="G84" s="10" t="inlineStr">
        <is>
          <t>金</t>
        </is>
      </c>
    </row>
    <row r="85">
      <c r="B85" s="2" t="inlineStr">
        <is>
          <t>↓ TOCOL で縦1列に</t>
        </is>
      </c>
      <c r="D85" s="2" t="inlineStr">
        <is>
          <t>→ TOROW で C8:C10 を横1行に</t>
        </is>
      </c>
    </row>
    <row r="86">
      <c r="B86" s="8">
        <f>TOCOL(C84:G84)</f>
        <v/>
      </c>
      <c r="D86" s="8">
        <f>TOROW(C8:C10)</f>
        <v/>
      </c>
    </row>
    <row r="96">
      <c r="B96" s="3" t="inlineStr">
        <is>
          <t>⑦ TOCOL + TEXTSPLIT ｜ カンマ区切り文字列を縦1列に</t>
        </is>
      </c>
    </row>
    <row r="97">
      <c r="B97" s="2" t="inlineStr">
        <is>
          <t>web/PDFの表を貼れない時、カンマ区切りテキストを縦のリストに展開できる。</t>
        </is>
      </c>
    </row>
    <row r="98">
      <c r="B98" s="9" t="inlineStr">
        <is>
          <t>入力→</t>
        </is>
      </c>
      <c r="C98" s="11" t="inlineStr">
        <is>
          <t>りんご,みかん,ぶどう,いちご,かき</t>
        </is>
      </c>
    </row>
    <row r="100">
      <c r="B100" s="8">
        <f>TOCOL(TEXTSPLIT(C98,","))</f>
        <v/>
      </c>
    </row>
    <row r="110">
      <c r="B110" s="3" t="inlineStr">
        <is>
          <t>⑧ SEQUENCE + ROWS ｜ データ件数ぶんの連番を自動生成</t>
        </is>
      </c>
    </row>
    <row r="111">
      <c r="B111" s="2" t="inlineStr">
        <is>
          <t>ROWS で件数を数え、その数だけ連番を作る。行が増減しても自動追従。</t>
        </is>
      </c>
    </row>
    <row r="112">
      <c r="B112" s="2" t="inlineStr">
        <is>
          <t>元データ10行ぶんの連番</t>
        </is>
      </c>
      <c r="D112" s="2" t="inlineStr">
        <is>
          <t>②の実データ件数ぶんの連番</t>
        </is>
      </c>
    </row>
    <row r="113">
      <c r="B113" s="8">
        <f>SEQUENCE(ROWS(C8:C17))</f>
        <v/>
      </c>
      <c r="D113" s="8">
        <f>SEQUENCE(ROWS(UNIQUE(TOCOL(FILTER(C8:C17,C8:C17&lt;&gt;"合計"),1))))</f>
        <v/>
      </c>
    </row>
    <row r="124">
      <c r="B124" s="3" t="inlineStr">
        <is>
          <t>▼ 問題（黄色セルに自分で数式を入れてみよう。解答は右のI列）</t>
        </is>
      </c>
    </row>
    <row r="125">
      <c r="B125" s="12" t="inlineStr">
        <is>
          <t>問題</t>
        </is>
      </c>
      <c r="C125" s="13" t="n"/>
      <c r="D125" s="13" t="n"/>
      <c r="E125" s="13" t="n"/>
      <c r="F125" s="14" t="n"/>
      <c r="G125" s="15" t="inlineStr">
        <is>
          <t>解答欄</t>
        </is>
      </c>
      <c r="I125" s="12" t="inlineStr">
        <is>
          <t>解答例</t>
        </is>
      </c>
    </row>
    <row r="126">
      <c r="B126" s="6" t="inlineStr">
        <is>
          <t>Q1  C列から空白を除いた重複なしリストを作る</t>
        </is>
      </c>
      <c r="C126" s="13" t="n"/>
      <c r="D126" s="13" t="n"/>
      <c r="E126" s="13" t="n"/>
      <c r="F126" s="14" t="n"/>
      <c r="G126" s="11" t="n"/>
      <c r="I126" s="6" t="inlineStr">
        <is>
          <t>=UNIQUE(TOCOL(C8:C17,1))</t>
        </is>
      </c>
      <c r="J126" s="13" t="n"/>
      <c r="K126" s="14" t="n"/>
    </row>
    <row r="127">
      <c r="B127" s="6" t="inlineStr">
        <is>
          <t>Q2  Q1に加えて『合計』も除外し、実データのみのリストにする</t>
        </is>
      </c>
      <c r="C127" s="13" t="n"/>
      <c r="D127" s="13" t="n"/>
      <c r="E127" s="13" t="n"/>
      <c r="F127" s="14" t="n"/>
      <c r="G127" s="11" t="n"/>
      <c r="I127" s="6" t="inlineStr">
        <is>
          <t>=UNIQUE(TOCOL(FILTER(C8:C17,C8:C17&lt;&gt;"合計"),1))</t>
        </is>
      </c>
      <c r="J127" s="13" t="n"/>
      <c r="K127" s="14" t="n"/>
    </row>
    <row r="128">
      <c r="B128" s="6" t="inlineStr">
        <is>
          <t>Q3  空白でない行だけを抽出し、売上の降順に並べ替える（ヘッダー除く）</t>
        </is>
      </c>
      <c r="C128" s="13" t="n"/>
      <c r="D128" s="13" t="n"/>
      <c r="E128" s="13" t="n"/>
      <c r="F128" s="14" t="n"/>
      <c r="G128" s="11" t="n"/>
      <c r="I128" s="6" t="inlineStr">
        <is>
          <t>=SORTBY(FILTER(B8:E16,C8:C16&lt;&gt;""),FILTER(E8:E16,C8:C16&lt;&gt;""),-1)</t>
        </is>
      </c>
      <c r="J128" s="13" t="n"/>
      <c r="K128" s="14" t="n"/>
    </row>
    <row r="129">
      <c r="B129" s="6" t="inlineStr">
        <is>
          <t>Q4  文字列『東京,大阪,名古屋』を縦1列に展開する</t>
        </is>
      </c>
      <c r="C129" s="13" t="n"/>
      <c r="D129" s="13" t="n"/>
      <c r="E129" s="13" t="n"/>
      <c r="F129" s="14" t="n"/>
      <c r="G129" s="11" t="n"/>
      <c r="I129" s="6" t="inlineStr">
        <is>
          <t>=TOCOL(TEXTSPLIT("東京,大阪,名古屋",","))</t>
        </is>
      </c>
      <c r="J129" s="13" t="n"/>
      <c r="K129" s="14" t="n"/>
    </row>
    <row r="130">
      <c r="B130" s="6" t="inlineStr">
        <is>
          <t>Q5  元データの件数ぶん（10行）の連番を作る</t>
        </is>
      </c>
      <c r="C130" s="13" t="n"/>
      <c r="D130" s="13" t="n"/>
      <c r="E130" s="13" t="n"/>
      <c r="F130" s="14" t="n"/>
      <c r="G130" s="11" t="n"/>
      <c r="I130" s="6" t="inlineStr">
        <is>
          <t>=SEQUENCE(ROWS(C8:C17))</t>
        </is>
      </c>
      <c r="J130" s="13" t="n"/>
      <c r="K130" s="14" t="n"/>
    </row>
  </sheetData>
  <mergeCells count="21">
    <mergeCell ref="B126:F126"/>
    <mergeCell ref="B129:F129"/>
    <mergeCell ref="B125:F125"/>
    <mergeCell ref="B6:E6"/>
    <mergeCell ref="B46:F46"/>
    <mergeCell ref="B22:F22"/>
    <mergeCell ref="I127:K127"/>
    <mergeCell ref="I130:K130"/>
    <mergeCell ref="B96:F96"/>
    <mergeCell ref="B58:F58"/>
    <mergeCell ref="B70:F70"/>
    <mergeCell ref="B130:F130"/>
    <mergeCell ref="B82:F82"/>
    <mergeCell ref="B34:F34"/>
    <mergeCell ref="I128:K128"/>
    <mergeCell ref="B128:F128"/>
    <mergeCell ref="B127:F127"/>
    <mergeCell ref="B124:F124"/>
    <mergeCell ref="I126:K126"/>
    <mergeCell ref="B110:F110"/>
    <mergeCell ref="I129:K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2026-08-10T04:23:05Z</dcterms:created>
  <dcterms:modified xsi:type="dcterms:W3CDTF">2026-08-10T04:23:05Z</dcterms:modified>
</cp:coreProperties>
</file>