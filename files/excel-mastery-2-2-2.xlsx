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05" yWindow="-15870" windowWidth="29040" windowHeight="15990" tabRatio="600" firstSheet="0" activeTab="0" autoFilterDateGrouping="1"/>
  </bookViews>
  <sheets>
    <sheet name="2-2-2_スピル関数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/d"/>
  </numFmts>
  <fonts count="12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color rgb="FF002060"/>
      <sz val="14"/>
    </font>
    <font>
      <name val="ＭＳ Ｐゴシック"/>
      <charset val="128"/>
      <family val="3"/>
      <color rgb="FFFF0000"/>
      <sz val="9"/>
    </font>
    <font>
      <name val="ＭＳ Ｐゴシック"/>
      <charset val="128"/>
      <family val="3"/>
      <b val="1"/>
      <color rgb="FFFFFFFF"/>
      <sz val="10"/>
    </font>
    <font>
      <name val="ＭＳ Ｐゴシック"/>
      <charset val="128"/>
      <family val="3"/>
      <b val="1"/>
      <color rgb="FF000000"/>
      <sz val="10"/>
    </font>
    <font>
      <name val="ＭＳ Ｐゴシック"/>
      <charset val="128"/>
      <family val="3"/>
      <color rgb="FF000000"/>
      <sz val="10"/>
    </font>
    <font>
      <name val="ＭＳ Ｐゴシック"/>
      <charset val="128"/>
      <family val="3"/>
      <sz val="6"/>
      <scheme val="minor"/>
    </font>
    <font>
      <b val="1"/>
      <color rgb="FFFFFFFF"/>
      <sz val="10"/>
    </font>
    <font>
      <color rgb="FFFF0000"/>
      <sz val="9"/>
    </font>
    <font>
      <b val="1"/>
      <sz val="10"/>
    </font>
    <font>
      <sz val="10"/>
    </font>
    <font>
      <b val="1"/>
      <color rgb="FFC00000"/>
      <sz val="10"/>
    </font>
  </fonts>
  <fills count="8">
    <fill>
      <patternFill/>
    </fill>
    <fill>
      <patternFill patternType="gray125"/>
    </fill>
    <fill>
      <patternFill patternType="solid">
        <fgColor rgb="FF1F3F51"/>
      </patternFill>
    </fill>
    <fill>
      <patternFill patternType="solid">
        <fgColor rgb="FFDDE7F0"/>
      </patternFill>
    </fill>
    <fill>
      <patternFill patternType="solid">
        <fgColor rgb="FFEAF1FB"/>
      </patternFill>
    </fill>
    <fill>
      <patternFill patternType="solid">
        <fgColor rgb="FFFFF6D6"/>
      </patternFill>
    </fill>
    <fill>
      <patternFill patternType="solid">
        <fgColor rgb="001F3F51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3" fontId="5" fillId="0" borderId="1" applyAlignment="1" pivotButton="0" quotePrefix="0" xfId="0">
      <alignment horizontal="right" vertical="center"/>
    </xf>
    <xf numFmtId="0" fontId="5" fillId="4" borderId="1" pivotButton="0" quotePrefix="0" xfId="0"/>
    <xf numFmtId="0" fontId="4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0" fontId="4" fillId="5" borderId="1" pivotButton="0" quotePrefix="0" xfId="0"/>
    <xf numFmtId="0" fontId="5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4" fillId="3" borderId="1" pivotButton="0" quotePrefix="0" xfId="0"/>
    <xf numFmtId="0" fontId="3" fillId="2" borderId="0" applyAlignment="1" pivotButton="0" quotePrefix="0" xfId="0">
      <alignment vertical="center"/>
    </xf>
    <xf numFmtId="0" fontId="0" fillId="0" borderId="0" pivotButton="0" quotePrefix="0" xfId="0"/>
    <xf numFmtId="0" fontId="7" fillId="6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164" fontId="10" fillId="5" borderId="6" pivotButton="0" quotePrefix="0" xfId="0"/>
    <xf numFmtId="164" fontId="10" fillId="4" borderId="6" pivotButton="0" quotePrefix="0" xfId="0"/>
    <xf numFmtId="0" fontId="10" fillId="0" borderId="6" pivotButton="0" quotePrefix="0" xfId="0"/>
    <xf numFmtId="0" fontId="0" fillId="5" borderId="6" pivotButton="0" quotePrefix="0" xfId="0"/>
    <xf numFmtId="164" fontId="10" fillId="5" borderId="6" pivotButton="0" quotePrefix="0" xfId="0"/>
    <xf numFmtId="164" fontId="10" fillId="4" borderId="6" pivotButton="0" quotePrefix="0" xfId="0"/>
    <xf numFmtId="0" fontId="11" fillId="7" borderId="0" applyAlignment="1" pivotButton="0" quotePrefix="0" xfId="0">
      <alignment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114"/>
  <sheetViews>
    <sheetView tabSelected="1" workbookViewId="0">
      <selection activeCell="D2" sqref="D2"/>
    </sheetView>
  </sheetViews>
  <sheetFormatPr baseColWidth="8" defaultRowHeight="13"/>
  <cols>
    <col width="2.36328125" customWidth="1" style="17" min="1" max="1"/>
    <col width="11" customWidth="1" style="17" min="2" max="3"/>
    <col width="16" customWidth="1" style="17" min="4" max="4"/>
    <col width="9" customWidth="1" style="17" min="5" max="5"/>
    <col width="12" customWidth="1" style="17" min="6" max="6"/>
    <col width="3" customWidth="1" style="17" min="7" max="7"/>
    <col width="16" customWidth="1" style="17" min="8" max="10"/>
    <col width="14" customWidth="1" style="17" min="11" max="11"/>
  </cols>
  <sheetData>
    <row r="2" ht="16.5" customHeight="1" s="17">
      <c r="B2" s="1" t="inlineStr">
        <is>
          <t>2-2-2. データ加工・クリーニング ― スピル関数系（UNIQUE / FILTER / SORTBY / TOCOL / TOROW / DROP / TEXTSPLIT / SEQUENCE）</t>
        </is>
      </c>
      <c r="C2" s="1" t="n"/>
    </row>
    <row r="3">
      <c r="B3" s="2" t="inlineStr">
        <is>
          <t>各「数式」セル（青）はExcelで開くと自動計算し、下方向・右方向にスピル（spill）します。※動的配列に対応した Microsoft 365 が必要です。</t>
        </is>
      </c>
      <c r="C3" s="2" t="n"/>
    </row>
    <row r="4" ht="20" customHeight="1" s="17">
      <c r="B4" s="27" t="inlineStr">
        <is>
          <t>⚠ 開いたとき数式の先頭に「@」が付く場合があります（例：=@UNIQUE(…)）。その時は数式バーで式の中の「@」をすべて削除し、Enter で確定し直すと正しくスピルします。</t>
        </is>
      </c>
    </row>
    <row r="6">
      <c r="B6" s="16" t="inlineStr">
        <is>
          <t>【元データ】予約明細（空白セルと『合計』行をわざと含む）</t>
        </is>
      </c>
      <c r="H6" s="16" t="inlineStr">
        <is>
          <t>① UNIQUE + TOCOL ｜ 空白を集計しない</t>
        </is>
      </c>
    </row>
    <row r="7">
      <c r="B7" s="3" t="inlineStr">
        <is>
          <t>予約ID</t>
        </is>
      </c>
      <c r="C7" s="3" t="inlineStr">
        <is>
          <t>予約経路ID</t>
        </is>
      </c>
      <c r="D7" s="3" t="inlineStr">
        <is>
          <t>予約経路</t>
        </is>
      </c>
      <c r="E7" s="3" t="inlineStr">
        <is>
          <t>区分</t>
        </is>
      </c>
      <c r="F7" s="3" t="inlineStr">
        <is>
          <t>売上</t>
        </is>
      </c>
      <c r="H7" s="2" t="inlineStr">
        <is>
          <t>UNIQUE で重複除去。</t>
        </is>
      </c>
      <c r="J7" s="2" t="inlineStr">
        <is>
          <t>TOCOL(範囲,1) で1列に畳みつつ空白を無視 → UNIQUE で重複除去。</t>
        </is>
      </c>
    </row>
    <row r="8">
      <c r="B8" s="4" t="inlineStr">
        <is>
          <t>R001</t>
        </is>
      </c>
      <c r="C8" s="4" t="inlineStr">
        <is>
          <t>RC001</t>
        </is>
      </c>
      <c r="D8" s="12" t="inlineStr">
        <is>
          <t>楽天トラベル</t>
        </is>
      </c>
      <c r="E8" s="4" t="inlineStr">
        <is>
          <t>国内</t>
        </is>
      </c>
      <c r="F8" s="6" t="n">
        <v>160000</v>
      </c>
      <c r="H8" s="7">
        <f>_xlfn.UNIQUE(D:D)</f>
        <v/>
      </c>
      <c r="J8" s="7">
        <f>_xlfn.UNIQUE(_xlfn.TOCOL(D:D,1))</f>
        <v/>
      </c>
    </row>
    <row r="9">
      <c r="B9" s="4" t="inlineStr">
        <is>
          <t>R002</t>
        </is>
      </c>
      <c r="C9" s="4" t="inlineStr">
        <is>
          <t>RC002</t>
        </is>
      </c>
      <c r="D9" s="12" t="inlineStr">
        <is>
          <t>じゃらん</t>
        </is>
      </c>
      <c r="E9" s="4" t="inlineStr">
        <is>
          <t>国内</t>
        </is>
      </c>
      <c r="F9" s="6" t="n">
        <v>108000</v>
      </c>
    </row>
    <row r="10">
      <c r="B10" s="4" t="inlineStr">
        <is>
          <t>R003</t>
        </is>
      </c>
      <c r="C10" s="4" t="inlineStr">
        <is>
          <t>RC005</t>
        </is>
      </c>
      <c r="D10" s="12" t="inlineStr">
        <is>
          <t>Booking.com</t>
        </is>
      </c>
      <c r="E10" s="4" t="inlineStr">
        <is>
          <t>海外</t>
        </is>
      </c>
      <c r="F10" s="6" t="n">
        <v>72000</v>
      </c>
    </row>
    <row r="11">
      <c r="B11" s="4" t="inlineStr">
        <is>
          <t>R004</t>
        </is>
      </c>
      <c r="C11" s="4" t="n"/>
      <c r="D11" s="12" t="n"/>
      <c r="E11" s="4" t="inlineStr">
        <is>
          <t>国内</t>
        </is>
      </c>
      <c r="F11" s="6" t="n">
        <v>180000</v>
      </c>
    </row>
    <row r="12">
      <c r="B12" s="4" t="inlineStr">
        <is>
          <t>R005</t>
        </is>
      </c>
      <c r="C12" s="4" t="inlineStr">
        <is>
          <t>RC010</t>
        </is>
      </c>
      <c r="D12" s="12" t="inlineStr">
        <is>
          <t>公式サイト</t>
        </is>
      </c>
      <c r="E12" s="4" t="inlineStr">
        <is>
          <t>国内</t>
        </is>
      </c>
      <c r="F12" s="6" t="n">
        <v>95000</v>
      </c>
    </row>
    <row r="13">
      <c r="B13" s="4" t="inlineStr">
        <is>
          <t>R006</t>
        </is>
      </c>
      <c r="C13" s="4" t="inlineStr">
        <is>
          <t>RC002</t>
        </is>
      </c>
      <c r="D13" s="12" t="inlineStr">
        <is>
          <t>じゃらん</t>
        </is>
      </c>
      <c r="E13" s="4" t="inlineStr">
        <is>
          <t>国内</t>
        </is>
      </c>
      <c r="F13" s="6" t="n">
        <v>36000</v>
      </c>
    </row>
    <row r="14">
      <c r="B14" s="4" t="inlineStr">
        <is>
          <t>R007</t>
        </is>
      </c>
      <c r="C14" s="4" t="inlineStr">
        <is>
          <t>RC008</t>
        </is>
      </c>
      <c r="D14" s="12" t="inlineStr">
        <is>
          <t>Expedia</t>
        </is>
      </c>
      <c r="E14" s="4" t="inlineStr">
        <is>
          <t>海外</t>
        </is>
      </c>
      <c r="F14" s="6" t="n">
        <v>152000</v>
      </c>
    </row>
    <row r="15">
      <c r="B15" s="4" t="inlineStr">
        <is>
          <t>R008</t>
        </is>
      </c>
      <c r="C15" s="4" t="n"/>
      <c r="D15" s="12" t="n"/>
      <c r="E15" s="4" t="inlineStr">
        <is>
          <t>海外</t>
        </is>
      </c>
      <c r="F15" s="6" t="n">
        <v>74000</v>
      </c>
    </row>
    <row r="16">
      <c r="B16" s="4" t="inlineStr">
        <is>
          <t>R009</t>
        </is>
      </c>
      <c r="C16" s="4" t="inlineStr">
        <is>
          <t>RC001</t>
        </is>
      </c>
      <c r="D16" s="12" t="inlineStr">
        <is>
          <t>楽天トラベル</t>
        </is>
      </c>
      <c r="E16" s="4" t="inlineStr">
        <is>
          <t>国内</t>
        </is>
      </c>
      <c r="F16" s="6" t="n">
        <v>92000</v>
      </c>
    </row>
    <row r="18">
      <c r="B18" s="2" t="inlineStr">
        <is>
          <t>※ C7がヘッダー、C11・C15 が空白</t>
        </is>
      </c>
      <c r="C18" s="2" t="n"/>
      <c r="H18" s="16" t="inlineStr">
        <is>
          <t>② UNIQUE + TOCOL + FILTER ｜ 空白＋特定セル(合計)を除外＝実データのみ</t>
        </is>
      </c>
    </row>
    <row r="19">
      <c r="B19" s="2" t="inlineStr">
        <is>
          <t>これらを除いて“実データのみ”を取り出すのが右の例です。</t>
        </is>
      </c>
      <c r="C19" s="2" t="n"/>
      <c r="H19" s="2" t="inlineStr">
        <is>
          <t>FILTER で『予約経路』を除外 → TOCOL(,1) で空白無視 → UNIQUE。</t>
        </is>
      </c>
    </row>
    <row r="20">
      <c r="H20" s="7">
        <f>_xlfn.UNIQUE(_xlfn.TOCOL(_xlfn._xlws.FILTER(D:D,D:D&lt;&gt;"予約経路"),1))</f>
        <v/>
      </c>
    </row>
    <row r="30">
      <c r="H30" s="16" t="inlineStr">
        <is>
          <t>③ UNIQUE + TOCOL + DROP ｜ 空白＋先頭の任意行を除外</t>
        </is>
      </c>
    </row>
    <row r="31">
      <c r="H31" s="2" t="inlineStr">
        <is>
          <t>DROP(範囲,7) で先頭7行を落とす → TOCOL(,1) → UNIQUE。ヘッダや前置き行を飛ばす用途。</t>
        </is>
      </c>
    </row>
    <row r="32">
      <c r="H32" s="7">
        <f>_xlfn.UNIQUE(_xlfn.TOCOL(_xlfn.DROP(D:D,7),1))</f>
        <v/>
      </c>
    </row>
    <row r="42">
      <c r="H42" s="16" t="inlineStr">
        <is>
          <t>④ ③ + SORT ｜ さらに任意の順で並べ替え（ここでは降順）</t>
        </is>
      </c>
    </row>
    <row r="43">
      <c r="H43" s="2" t="inlineStr">
        <is>
          <t>SORT(結果, 並べ替えキーの列番号, -1)。キー配列を差し替えれば任意の順に。</t>
        </is>
      </c>
    </row>
    <row r="44">
      <c r="H44" s="7">
        <f>_xlfn._xlws.SORT(_xlfn.UNIQUE(_xlfn.TOCOL(_xlfn.DROP(D:D,7),1)),1,-1)</f>
        <v/>
      </c>
    </row>
    <row r="54">
      <c r="H54" s="16" t="inlineStr">
        <is>
          <t>⑤ ③ + SORTBY ｜ さらに任意の順で並べ替え（ここでは昇順）</t>
        </is>
      </c>
    </row>
    <row r="55">
      <c r="H55" s="2" t="inlineStr">
        <is>
          <t>SORTBY(結果, 並べ替えキー, -1)。キー配列を差し替えれば任意の順に。</t>
        </is>
      </c>
    </row>
    <row r="56">
      <c r="H56" s="7">
        <f>_xlfn.SORTBY(_xlfn.UNIQUE(_xlfn.TOCOL(_xlfn.DROP(C:C,7),1)),_xlfn.UNIQUE(_xlfn.TOCOL(_xlfn.DROP(C:C,7),1)),1)</f>
        <v/>
      </c>
      <c r="I56" s="7">
        <f>_xlfn.XLOOKUP(_xlfn.ANCHORARRAY(H56),C:C,D:D)</f>
        <v/>
      </c>
    </row>
    <row r="66">
      <c r="H66" s="16" t="inlineStr">
        <is>
          <t>⑥ TOCOL / TOROW ｜ データの縦横を変換</t>
        </is>
      </c>
    </row>
    <row r="67">
      <c r="H67" s="2" t="inlineStr">
        <is>
          <t>TOCOL＝横→縦、TOROW＝縦→横。貼り付け方向を直したい時に。</t>
        </is>
      </c>
    </row>
    <row r="68">
      <c r="H68" s="8" t="inlineStr">
        <is>
          <t>横入力→</t>
        </is>
      </c>
      <c r="I68" s="9" t="inlineStr">
        <is>
          <t>月</t>
        </is>
      </c>
      <c r="J68" s="9" t="inlineStr">
        <is>
          <t>火</t>
        </is>
      </c>
      <c r="K68" s="9" t="inlineStr">
        <is>
          <t>水</t>
        </is>
      </c>
      <c r="L68" s="9" t="inlineStr">
        <is>
          <t>木</t>
        </is>
      </c>
      <c r="M68" s="9" t="inlineStr">
        <is>
          <t>金</t>
        </is>
      </c>
    </row>
    <row r="69">
      <c r="H69" s="2" t="inlineStr">
        <is>
          <t>↓ TOCOL で縦1列に</t>
        </is>
      </c>
      <c r="J69" s="2" t="inlineStr">
        <is>
          <t>→ TOROW で C8:C10 を横1行に</t>
        </is>
      </c>
    </row>
    <row r="70">
      <c r="H70" s="7">
        <f>_xlfn.TOCOL(I68:M68)</f>
        <v/>
      </c>
      <c r="J70" s="7">
        <f>_xlfn.TOROW(D8:D10)</f>
        <v/>
      </c>
    </row>
    <row r="80">
      <c r="H80" s="16" t="inlineStr">
        <is>
          <t>⑦ TOCOL + TEXTSPLIT ｜ カンマ区切り文字列を縦1列に</t>
        </is>
      </c>
    </row>
    <row r="81">
      <c r="H81" s="2" t="inlineStr">
        <is>
          <t>web/PDFの表を貼れない時、カンマ区切りテキストを縦のリストに展開できる。</t>
        </is>
      </c>
    </row>
    <row r="82">
      <c r="H82" s="8" t="inlineStr">
        <is>
          <t>入力→</t>
        </is>
      </c>
      <c r="I82" s="10" t="inlineStr">
        <is>
          <t>りんご,みかん,ぶどう,いちご,かき</t>
        </is>
      </c>
    </row>
    <row r="84">
      <c r="H84" s="7">
        <f>_xlfn.TOCOL(_xlfn.TEXTSPLIT(I82,","))</f>
        <v/>
      </c>
    </row>
    <row r="94">
      <c r="H94" s="16" t="inlineStr">
        <is>
          <t>⑧ SEQUENCE + ROWS ｜ データ件数ぶんの連番を自動生成</t>
        </is>
      </c>
    </row>
    <row r="95">
      <c r="H95" s="2" t="inlineStr">
        <is>
          <t>ROWS で件数を数え、その数だけ連番を作る。行が増減しても自動追従。</t>
        </is>
      </c>
    </row>
    <row r="96">
      <c r="H96" s="7">
        <f>_xlfn.SEQUENCE(ROWS(_xlfn.ANCHORARRAY(H44)))</f>
        <v/>
      </c>
      <c r="I96" s="7">
        <f>_xlfn.ANCHORARRAY(H44)</f>
        <v/>
      </c>
    </row>
    <row r="102">
      <c r="H102" s="18" t="inlineStr">
        <is>
          <t>⑨ EOMONTH + SEQUENCE ｜ 5年分の“月初(X月1日)”を横にスピル</t>
        </is>
      </c>
    </row>
    <row r="103">
      <c r="H103" s="19" t="inlineStr">
        <is>
          <t>SEQUENCE(1,60,0) で 0〜59 か月を作り、EOMONTH(基準,n)+1 で各月の1日に。基準日を変えると全体が動く。</t>
        </is>
      </c>
    </row>
    <row r="104">
      <c r="H104" s="20" t="inlineStr">
        <is>
          <t>基準日→</t>
        </is>
      </c>
      <c r="I104" s="25" t="n">
        <v>46037</v>
      </c>
    </row>
    <row r="105">
      <c r="H105" s="26">
        <f>EOMONTH(I104,_xlfn.SEQUENCE(1,60,0))+1</f>
        <v/>
      </c>
    </row>
    <row r="106">
      <c r="H106" s="19" t="inlineStr">
        <is>
          <t>↑ H105から右へ60列（5年＝60か月）ぶんの月初がスピルします。</t>
        </is>
      </c>
    </row>
    <row r="107">
      <c r="H107" s="16" t="inlineStr">
        <is>
          <t>▼ 問題（黄色セルに自分で数式を入れてみよう。解答は右のI列）</t>
        </is>
      </c>
    </row>
    <row r="108">
      <c r="H108" s="15" t="inlineStr">
        <is>
          <t>問題</t>
        </is>
      </c>
      <c r="I108" s="13" t="n"/>
      <c r="J108" s="13" t="n"/>
      <c r="K108" s="13" t="n"/>
      <c r="L108" s="14" t="n"/>
      <c r="M108" s="11" t="inlineStr">
        <is>
          <t>解答欄</t>
        </is>
      </c>
    </row>
    <row r="109">
      <c r="H109" s="12" t="inlineStr">
        <is>
          <t>Q1  C列から空白を除いた重複なしリストを作る</t>
        </is>
      </c>
      <c r="I109" s="13" t="n"/>
      <c r="J109" s="13" t="n"/>
      <c r="K109" s="13" t="n"/>
      <c r="L109" s="14" t="n"/>
      <c r="M109" s="10" t="n"/>
    </row>
    <row r="110">
      <c r="H110" s="12" t="inlineStr">
        <is>
          <t>Q2  Q1に加えて『合計』も除外し、実データのみのリストにする</t>
        </is>
      </c>
      <c r="I110" s="13" t="n"/>
      <c r="J110" s="13" t="n"/>
      <c r="K110" s="13" t="n"/>
      <c r="L110" s="14" t="n"/>
      <c r="M110" s="10" t="n"/>
    </row>
    <row r="111">
      <c r="H111" s="12" t="inlineStr">
        <is>
          <t>Q3  空白でない行だけを抽出し、売上の降順に並べ替える（ヘッダー除く）</t>
        </is>
      </c>
      <c r="I111" s="13" t="n"/>
      <c r="J111" s="13" t="n"/>
      <c r="K111" s="13" t="n"/>
      <c r="L111" s="14" t="n"/>
      <c r="M111" s="10" t="n"/>
    </row>
    <row r="112">
      <c r="H112" s="12" t="inlineStr">
        <is>
          <t>Q4  文字列『東京,大阪,名古屋』を縦1列に展開する</t>
        </is>
      </c>
      <c r="I112" s="13" t="n"/>
      <c r="J112" s="13" t="n"/>
      <c r="K112" s="13" t="n"/>
      <c r="L112" s="14" t="n"/>
      <c r="M112" s="10" t="n"/>
    </row>
    <row r="113">
      <c r="H113" s="12" t="inlineStr">
        <is>
          <t>Q5  元データの件数ぶん（10行）の連番を作る</t>
        </is>
      </c>
      <c r="I113" s="13" t="n"/>
      <c r="J113" s="13" t="n"/>
      <c r="K113" s="13" t="n"/>
      <c r="L113" s="14" t="n"/>
      <c r="M113" s="10" t="n"/>
    </row>
    <row r="114">
      <c r="H114" s="23" t="inlineStr">
        <is>
          <t>Q6  基準日セルから5年分（60か月）の月初（1日）を横1行にスピルする</t>
        </is>
      </c>
      <c r="I114" s="13" t="n"/>
      <c r="J114" s="13" t="n"/>
      <c r="K114" s="13" t="n"/>
      <c r="L114" s="14" t="n"/>
      <c r="M114" s="24" t="n"/>
    </row>
  </sheetData>
  <mergeCells count="19">
    <mergeCell ref="H30:L30"/>
    <mergeCell ref="H54:L54"/>
    <mergeCell ref="H112:L112"/>
    <mergeCell ref="H102:L102"/>
    <mergeCell ref="H113:L113"/>
    <mergeCell ref="H114:L114"/>
    <mergeCell ref="H6:L6"/>
    <mergeCell ref="H94:L94"/>
    <mergeCell ref="H110:L110"/>
    <mergeCell ref="H108:L108"/>
    <mergeCell ref="H109:L109"/>
    <mergeCell ref="H66:L66"/>
    <mergeCell ref="H80:L80"/>
    <mergeCell ref="B4:M4"/>
    <mergeCell ref="H111:L111"/>
    <mergeCell ref="B6:F6"/>
    <mergeCell ref="H42:L42"/>
    <mergeCell ref="H18:L18"/>
    <mergeCell ref="H107:L1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2026-08-10T04:23:05Z</dcterms:created>
  <dcterms:modified xsi:type="dcterms:W3CDTF">2026-08-10T07:30:56Z</dcterms:modified>
  <cp:lastModifiedBy>ARTH.inc</cp:lastModifiedBy>
</cp:coreProperties>
</file>