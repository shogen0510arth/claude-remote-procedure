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Mac\Home\Desktop\"/>
    </mc:Choice>
  </mc:AlternateContent>
  <xr:revisionPtr revIDLastSave="0" documentId="8_{D75F65E6-DCB5-4F65-A249-F4C3B5449CC1}" xr6:coauthVersionLast="47" xr6:coauthVersionMax="47" xr10:uidLastSave="{00000000-0000-0000-0000-000000000000}"/>
  <bookViews>
    <workbookView xWindow="-1605" yWindow="-16320" windowWidth="29040" windowHeight="16440" activeTab="2" xr2:uid="{00000000-000D-0000-FFFF-FFFF00000000}"/>
  </bookViews>
  <sheets>
    <sheet name="1-1_体裁の対比" sheetId="1" r:id="rId1"/>
    <sheet name="1-2_操作イメージ" sheetId="2" r:id="rId2"/>
    <sheet name="2-1_実績集計_SUMIFS" sheetId="3" r:id="rId3"/>
    <sheet name="2-1_実績集計_XLOOKUP" sheetId="17" r:id="rId4"/>
    <sheet name="2-2_クリーニング" sheetId="4" r:id="rId5"/>
    <sheet name="2-4_PL①Input" sheetId="5" r:id="rId6"/>
    <sheet name="2-4_PL②計算" sheetId="6" r:id="rId7"/>
    <sheet name="2-4_PL③Output" sheetId="7" r:id="rId8"/>
    <sheet name="00_Index" sheetId="8" r:id="rId9"/>
    <sheet name="01_Assumption" sheetId="9" r:id="rId10"/>
    <sheet name="02_RawData" sheetId="10" r:id="rId11"/>
    <sheet name="03_Master" sheetId="11" r:id="rId12"/>
    <sheet name="04_Calculation" sheetId="12" r:id="rId13"/>
    <sheet name="05_Output" sheetId="13" r:id="rId14"/>
    <sheet name="06_Check" sheetId="14" r:id="rId15"/>
    <sheet name="4-1_チェックセル" sheetId="15" r:id="rId16"/>
    <sheet name="4-3_常識チェック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7" l="1"/>
  <c r="I31" i="17" s="1"/>
  <c r="K31" i="17" s="1"/>
  <c r="G31" i="17"/>
  <c r="G30" i="17"/>
  <c r="G29" i="17"/>
  <c r="G28" i="17"/>
  <c r="J28" i="17"/>
  <c r="H30" i="17"/>
  <c r="I30" i="17" s="1"/>
  <c r="K30" i="17" s="1"/>
  <c r="H29" i="17"/>
  <c r="I29" i="17" s="1"/>
  <c r="K29" i="17" s="1"/>
  <c r="H28" i="17"/>
  <c r="I28" i="17" s="1"/>
  <c r="K28" i="17" s="1"/>
  <c r="F30" i="17"/>
  <c r="F29" i="17"/>
  <c r="F28" i="17"/>
  <c r="F31" i="17"/>
  <c r="J31" i="17"/>
  <c r="J30" i="17"/>
  <c r="J29" i="17"/>
  <c r="H10" i="14"/>
  <c r="H9" i="14"/>
  <c r="H8" i="14"/>
  <c r="G10" i="14"/>
  <c r="G9" i="14"/>
  <c r="G8" i="14"/>
  <c r="E10" i="13"/>
  <c r="E11" i="13"/>
  <c r="F10" i="12"/>
  <c r="F9" i="12"/>
  <c r="F8" i="12"/>
  <c r="E12" i="7"/>
  <c r="E15" i="7" s="1"/>
  <c r="E11" i="7"/>
  <c r="E14" i="7"/>
  <c r="D26" i="6"/>
  <c r="E26" i="6"/>
  <c r="D27" i="6"/>
  <c r="E27" i="6"/>
  <c r="E22" i="6"/>
  <c r="D17" i="6"/>
  <c r="E17" i="6"/>
  <c r="E16" i="6"/>
  <c r="D13" i="6"/>
  <c r="E13" i="6"/>
  <c r="E8" i="6"/>
  <c r="E9" i="6"/>
  <c r="E10" i="6"/>
  <c r="H17" i="4" a="1"/>
  <c r="H17" i="4" s="1"/>
  <c r="I17" i="4" s="1" a="1"/>
  <c r="I17" i="4" s="1"/>
  <c r="H43" i="2"/>
  <c r="G43" i="2"/>
  <c r="F43" i="2"/>
  <c r="E43" i="2"/>
  <c r="H42" i="2"/>
  <c r="G42" i="2"/>
  <c r="F42" i="2"/>
  <c r="E42" i="2"/>
  <c r="H41" i="2"/>
  <c r="G41" i="2"/>
  <c r="F41" i="2"/>
  <c r="E41" i="2"/>
  <c r="H40" i="2"/>
  <c r="G40" i="2"/>
  <c r="F40" i="2"/>
  <c r="E40" i="2"/>
  <c r="H39" i="2"/>
  <c r="G39" i="2"/>
  <c r="F39" i="2"/>
  <c r="G29" i="2"/>
  <c r="G28" i="2"/>
  <c r="G10" i="16"/>
  <c r="G9" i="16"/>
  <c r="G8" i="16"/>
  <c r="G12" i="15"/>
  <c r="H12" i="15" s="1"/>
  <c r="G11" i="15"/>
  <c r="H11" i="15" s="1"/>
  <c r="G10" i="15"/>
  <c r="H10" i="15" s="1"/>
  <c r="H9" i="15"/>
  <c r="G9" i="15"/>
  <c r="G8" i="15"/>
  <c r="H8" i="15" s="1"/>
  <c r="E8" i="14"/>
  <c r="G9" i="12"/>
  <c r="E9" i="12"/>
  <c r="G8" i="12"/>
  <c r="G10" i="12" s="1"/>
  <c r="E8" i="12"/>
  <c r="E10" i="12" s="1"/>
  <c r="F36" i="3"/>
  <c r="G36" i="3" s="1"/>
  <c r="E36" i="3"/>
  <c r="F35" i="3"/>
  <c r="E35" i="3"/>
  <c r="G35" i="3" s="1"/>
  <c r="F25" i="3"/>
  <c r="G25" i="3" s="1"/>
  <c r="E25" i="3"/>
  <c r="F24" i="3"/>
  <c r="E24" i="3"/>
  <c r="E26" i="3" s="1"/>
  <c r="E39" i="2"/>
  <c r="G27" i="2"/>
  <c r="E19" i="2"/>
  <c r="I24" i="1"/>
  <c r="I23" i="1"/>
  <c r="I22" i="1"/>
  <c r="I25" i="1" s="1"/>
  <c r="E11" i="1"/>
  <c r="I10" i="1"/>
  <c r="I9" i="1"/>
  <c r="I8" i="1"/>
  <c r="I11" i="1" s="1"/>
  <c r="F26" i="3" l="1"/>
  <c r="E28" i="6"/>
  <c r="E11" i="6"/>
  <c r="E8" i="13"/>
  <c r="F9" i="14"/>
  <c r="H9" i="12"/>
  <c r="E9" i="14"/>
  <c r="G24" i="3"/>
  <c r="G26" i="3" s="1"/>
  <c r="H8" i="12"/>
  <c r="E18" i="6" l="1"/>
  <c r="E14" i="6"/>
  <c r="E10" i="14"/>
  <c r="E20" i="6" l="1"/>
  <c r="E9" i="7" s="1"/>
  <c r="E23" i="6" l="1"/>
  <c r="E24" i="6" l="1"/>
  <c r="F11" i="7"/>
  <c r="F9" i="7"/>
  <c r="F14" i="7"/>
  <c r="E30" i="6" l="1"/>
  <c r="F15" i="7" s="1"/>
  <c r="F1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<sst xmlns="http://schemas.openxmlformats.org/spreadsheetml/2006/main" count="434" uniqueCount="283">
  <si>
    <t>1-1. 体裁を統一できる ― 良い例と悪い例の対比</t>
  </si>
  <si>
    <t>【良い例】体裁が統一されている</t>
  </si>
  <si>
    <t>施設</t>
  </si>
  <si>
    <t>客室数(室)</t>
  </si>
  <si>
    <t>稼働日数/月</t>
  </si>
  <si>
    <t>稼働率</t>
  </si>
  <si>
    <t>ADR(円)</t>
  </si>
  <si>
    <t>売上(千円)</t>
  </si>
  <si>
    <t>西伊豆</t>
  </si>
  <si>
    <t>熱海</t>
  </si>
  <si>
    <t>箱根</t>
  </si>
  <si>
    <t>合計</t>
  </si>
  <si>
    <t>★ 罫線や色、太字は必要最小限に。　意図なく色を使わない</t>
  </si>
  <si>
    <t>★ %は0.0%で桁統一／金額は#,##0</t>
  </si>
  <si>
    <t>★ セル結合しない</t>
  </si>
  <si>
    <t>★ 十分に行で余白を取る</t>
  </si>
  <si>
    <t>【悪い例】体裁が崩れている（★が崩れポイント）</t>
  </si>
  <si>
    <t>客室数</t>
  </si>
  <si>
    <t>稼働日数</t>
  </si>
  <si>
    <t>稼働</t>
  </si>
  <si>
    <t>ADR</t>
  </si>
  <si>
    <t>売上</t>
  </si>
  <si>
    <t>52000円</t>
  </si>
  <si>
    <t>★ 罫線や色使いに無駄が多く、作業時間を浪費。　視線が誘導されない。</t>
  </si>
  <si>
    <t>★ 色を役割でなく気分で多用</t>
  </si>
  <si>
    <t>★ ADR・売上に「円/千円」単位が混在し、52000円は文字列で計算不可</t>
  </si>
  <si>
    <t>★ 小数点以下が無意味に多い（0.00000、#,##0.00）</t>
  </si>
  <si>
    <t>★ セル結合している</t>
  </si>
  <si>
    <t>★ 十分に行で余白を取れいていない</t>
  </si>
  <si>
    <t>1-2. 操作が速い ― キーボード操作と数式展開のイメージ</t>
  </si>
  <si>
    <t>① キーボードでセル間・表間を高速移動する</t>
  </si>
  <si>
    <t>操作イメージ</t>
  </si>
  <si>
    <t>キー</t>
  </si>
  <si>
    <t>効果</t>
  </si>
  <si>
    <t>表の端まで一気に移動</t>
  </si>
  <si>
    <t>Ctrl + 方向キー</t>
  </si>
  <si>
    <t>データの切れ目まで一瞬でジャンプ</t>
  </si>
  <si>
    <t>端まで一括で範囲選択</t>
  </si>
  <si>
    <t>Ctrl + Shift + 方向キー</t>
  </si>
  <si>
    <t>そこから端までを選択（合計や書式設定に）</t>
  </si>
  <si>
    <t>シートを切り替える</t>
  </si>
  <si>
    <t>Ctrl + PgDn / PgUp</t>
  </si>
  <si>
    <t>右/左のシートへ移動</t>
  </si>
  <si>
    <t>セルを編集モードに</t>
  </si>
  <si>
    <t>F2</t>
  </si>
  <si>
    <t>マウスなしで数式を編集、もう一度押すとセル選択モード</t>
  </si>
  <si>
    <t>※ 下の水色の範囲は「Ctrl+Shift+↓, → で一括選択される範囲」のイメージです。</t>
  </si>
  <si>
    <t>月</t>
  </si>
  <si>
    <t>売上(円)</t>
  </si>
  <si>
    <t>7月</t>
  </si>
  <si>
    <t>8月</t>
  </si>
  <si>
    <t>9月</t>
  </si>
  <si>
    <t>10月</t>
  </si>
  <si>
    <t>② 数式を縦・横に正しく展開する（相対参照）</t>
  </si>
  <si>
    <t>G列は =D×E を1つ作って下へコピー（青色セル）するだけ。参照が自動でずれる（相対参照）。</t>
  </si>
  <si>
    <t>商品</t>
  </si>
  <si>
    <t>単価(円)</t>
  </si>
  <si>
    <t>数量</t>
  </si>
  <si>
    <t>金額(円)</t>
  </si>
  <si>
    <t>シングル</t>
  </si>
  <si>
    <t>ツイン</t>
  </si>
  <si>
    <t>スイート</t>
  </si>
  <si>
    <t>③ 絶対/相対/複合参照を使い分ける（$の位置）</t>
  </si>
  <si>
    <t>数量＼単価</t>
  </si>
  <si>
    <t>2-1. 実績集計 ― 元データと集計結果（SUMIFS）</t>
  </si>
  <si>
    <t>① 元データ：予約明細</t>
  </si>
  <si>
    <t>予約ID</t>
  </si>
  <si>
    <t>客室タイプ</t>
  </si>
  <si>
    <t>泊数</t>
  </si>
  <si>
    <t>宿泊人数</t>
  </si>
  <si>
    <t>R001</t>
  </si>
  <si>
    <t>R002</t>
  </si>
  <si>
    <t>スタンダード</t>
  </si>
  <si>
    <t>R003</t>
  </si>
  <si>
    <t>R004</t>
  </si>
  <si>
    <t>R005</t>
  </si>
  <si>
    <t>R006</t>
  </si>
  <si>
    <t>R007</t>
  </si>
  <si>
    <t>R008</t>
  </si>
  <si>
    <t>R009</t>
  </si>
  <si>
    <t>R010</t>
  </si>
  <si>
    <t>② 集計：施設別×月別の売上（=SUMIFS）</t>
  </si>
  <si>
    <t>施設＼月</t>
  </si>
  <si>
    <t>例）D20 = =SUMIFS(売上, 施設, 西伊豆, 月, 7) 。元データを1行足すだけで自動更新。</t>
  </si>
  <si>
    <t>③ 集計：客室タイプ別ADR（売上計÷泊数計）</t>
  </si>
  <si>
    <t>売上計(円)</t>
  </si>
  <si>
    <t>泊数計(泊)</t>
  </si>
  <si>
    <t>ADR＝客室売上÷販売室数(泊数)。SUMIFSで分子・分母を集計して割るだけ。</t>
  </si>
  <si>
    <t>2-2. データ加工・クリーニング ― UNIQUE / FILTER / SORT</t>
  </si>
  <si>
    <t>元データの予約経路(OTA)には重複があります。動的配列関数でユニークな一覧を作ります。※Excelで開くと自動計算・spillします。</t>
  </si>
  <si>
    <t>① 元データ：予約経路つき明細</t>
  </si>
  <si>
    <t>予約経路(OTA)</t>
  </si>
  <si>
    <t>数式</t>
  </si>
  <si>
    <t>楽天トラベル</t>
  </si>
  <si>
    <t>じゃらん</t>
  </si>
  <si>
    <t>Booking.com</t>
  </si>
  <si>
    <t>公式サイト</t>
  </si>
  <si>
    <t>Expedia</t>
  </si>
  <si>
    <t>一休.com</t>
  </si>
  <si>
    <t>R011</t>
  </si>
  <si>
    <t>R012</t>
  </si>
  <si>
    <t>OTA</t>
  </si>
  <si>
    <t>2-4. PLシミュレーション ①Input（前提・青字が入力）</t>
  </si>
  <si>
    <t>青字のセルだけを変更すれば、②計算・③Outputが自動で更新されます。</t>
  </si>
  <si>
    <t>【売上ドライバー】</t>
  </si>
  <si>
    <t>項目</t>
  </si>
  <si>
    <t>値</t>
  </si>
  <si>
    <t>単位</t>
  </si>
  <si>
    <t>室</t>
  </si>
  <si>
    <t>営業日数</t>
  </si>
  <si>
    <t>日</t>
  </si>
  <si>
    <t>ADR（客室単価）</t>
  </si>
  <si>
    <t>円</t>
  </si>
  <si>
    <t>宿泊人数/室</t>
  </si>
  <si>
    <t>人</t>
  </si>
  <si>
    <t>飲食単価/人</t>
  </si>
  <si>
    <t>変動費率（対売上）</t>
  </si>
  <si>
    <t>人件費（固定・年）</t>
  </si>
  <si>
    <t>その他固定費（年）</t>
  </si>
  <si>
    <t>※ 青字＝手入力の前提。黒字＝数式。緑字＝他シート参照（②③で使用）。</t>
  </si>
  <si>
    <t>2-4. PLシミュレーション ②計算（Inputを参照して積み上げ）</t>
  </si>
  <si>
    <t>客室・飲食売上の積み上げ</t>
  </si>
  <si>
    <t>計算の内容</t>
  </si>
  <si>
    <t>客室数×営業日数×稼働率</t>
  </si>
  <si>
    <t>客室売上</t>
  </si>
  <si>
    <t>販売室数×ADR</t>
  </si>
  <si>
    <t>飲食売上</t>
  </si>
  <si>
    <t>売上高 計</t>
  </si>
  <si>
    <t>客室売上＋飲食売上</t>
  </si>
  <si>
    <t>変動費</t>
  </si>
  <si>
    <t>売上高×変動費率</t>
  </si>
  <si>
    <t>限界利益</t>
  </si>
  <si>
    <t>売上高−変動費</t>
  </si>
  <si>
    <t>固定費 計</t>
  </si>
  <si>
    <t>人件費＋その他固定費</t>
  </si>
  <si>
    <t>営業利益</t>
  </si>
  <si>
    <t>限界利益−固定費</t>
  </si>
  <si>
    <t>緑字＝①Inputへの参照。黄色＝主要な中間・最終アウトプット。</t>
  </si>
  <si>
    <t>2-4. PLシミュレーション ③Output（PLサマリ）</t>
  </si>
  <si>
    <t>年間 損益計算書（サマリ）</t>
  </si>
  <si>
    <t>売上高</t>
  </si>
  <si>
    <t>Input①の青字（稼働率・ADR等）を変えると、この③まで一気に更新されます。</t>
  </si>
  <si>
    <t>00_Index ― 目次・ファイル概要</t>
  </si>
  <si>
    <t>このファイルの目的：施設別の月次売上を、元データから集計してKPIを出力する実績集計ブック（入力→計算→出力→検証を分離）。</t>
  </si>
  <si>
    <t>更新日 / 前提の要約</t>
  </si>
  <si>
    <t>内容</t>
  </si>
  <si>
    <t>更新日</t>
  </si>
  <si>
    <t>対象期間</t>
  </si>
  <si>
    <t>2026年7月〜8月</t>
  </si>
  <si>
    <t>2026-07-20</t>
  </si>
  <si>
    <t>消費税率</t>
  </si>
  <si>
    <t>10%（税抜集計）</t>
  </si>
  <si>
    <t>対象施設</t>
  </si>
  <si>
    <t>西伊豆・熱海（Masterシート参照）</t>
  </si>
  <si>
    <t>シート構成</t>
  </si>
  <si>
    <t>シート</t>
  </si>
  <si>
    <t>役割</t>
  </si>
  <si>
    <t>区分</t>
  </si>
  <si>
    <t>00_Index</t>
  </si>
  <si>
    <t>目次・目的・更新日・前提の要約</t>
  </si>
  <si>
    <t>案内</t>
  </si>
  <si>
    <t>01_Assumption</t>
  </si>
  <si>
    <t>前提条件・置き値（青字入力を集約）</t>
  </si>
  <si>
    <t>入力</t>
  </si>
  <si>
    <t>02_RawData</t>
  </si>
  <si>
    <t>加工前の元データ（触らない）</t>
  </si>
  <si>
    <t>元データ</t>
  </si>
  <si>
    <t>03_Master</t>
  </si>
  <si>
    <t>施設・OTAなどのマスタ</t>
  </si>
  <si>
    <t>マスタ</t>
  </si>
  <si>
    <t>04_Calculation</t>
  </si>
  <si>
    <t>集計・計算ロジック</t>
  </si>
  <si>
    <t>計算</t>
  </si>
  <si>
    <t>05_Output</t>
  </si>
  <si>
    <t>結果表・KPI</t>
  </si>
  <si>
    <t>出力</t>
  </si>
  <si>
    <t>06_Check</t>
  </si>
  <si>
    <t>エラーチェック・整合性確認</t>
  </si>
  <si>
    <t>検証</t>
  </si>
  <si>
    <t>01_Assumption ― 前提条件（青字が入力）</t>
  </si>
  <si>
    <t>前提・置き値</t>
  </si>
  <si>
    <t>集計対象月・開始</t>
  </si>
  <si>
    <t>集計対象月・終了</t>
  </si>
  <si>
    <t>目標稼働率</t>
  </si>
  <si>
    <t>02_RawData ― 元データ（加工しない）</t>
  </si>
  <si>
    <t>元データ（予約明細）</t>
  </si>
  <si>
    <t>売上税抜(円)</t>
  </si>
  <si>
    <t>このシートは元データ。数式や加工を入れず、そのまま保持する。</t>
  </si>
  <si>
    <t>03_Master ― マスタ</t>
  </si>
  <si>
    <t>施設マスタ</t>
  </si>
  <si>
    <t>エリア</t>
  </si>
  <si>
    <t>静岡</t>
  </si>
  <si>
    <t>04_Calculation ― 集計（RawData/Masterを参照）</t>
  </si>
  <si>
    <t>施設別 売上集計</t>
  </si>
  <si>
    <t>1室売上(円)</t>
  </si>
  <si>
    <t>05_Output ― KPI（Calculationを参照）</t>
  </si>
  <si>
    <t>主要KPI</t>
  </si>
  <si>
    <t>KPI</t>
  </si>
  <si>
    <t>総売上(円)</t>
  </si>
  <si>
    <t>西伊豆 構成比</t>
  </si>
  <si>
    <t>熱海 構成比</t>
  </si>
  <si>
    <t>06_Check ― 整合性チェック</t>
  </si>
  <si>
    <t>チェック項目</t>
  </si>
  <si>
    <t>値A</t>
  </si>
  <si>
    <t>値B</t>
  </si>
  <si>
    <t>判定</t>
  </si>
  <si>
    <t>元データ件数 = 集計対象件数</t>
  </si>
  <si>
    <t>施設別売上合計 = 総売上</t>
  </si>
  <si>
    <t>構成比合計 = 100%</t>
  </si>
  <si>
    <t>判定がすべてOKなら、集計は元データと整合。1つでも要確認なら原因を追う。</t>
  </si>
  <si>
    <t>4-1. チェックセルを設ける</t>
  </si>
  <si>
    <t>「別ルートで出した2つの値が一致するか」を機械的に判定。1つでも要確認なら全体を疑う。</t>
  </si>
  <si>
    <t>一致チェック</t>
  </si>
  <si>
    <t>差(A−B)</t>
  </si>
  <si>
    <t>月次合計 = 年次合計</t>
  </si>
  <si>
    <t>部門別売上合計 = 全社売上</t>
  </si>
  <si>
    <t>元データ件数 = 集計後件数</t>
  </si>
  <si>
    <t>税抜×1.1 = 税込</t>
  </si>
  <si>
    <t>構成比の合計 = 100%</t>
  </si>
  <si>
    <t>4-3. 常識との整合性を確認する</t>
  </si>
  <si>
    <t>数式が正しくても前提が非常識なら結論は誤り。「桁」と「率」を常識レンジと突き合わせる。</t>
  </si>
  <si>
    <t>常識レンジとの照合</t>
  </si>
  <si>
    <t>指標</t>
  </si>
  <si>
    <t>常識レンジ</t>
  </si>
  <si>
    <t>コメント</t>
  </si>
  <si>
    <t>1日あたり販売室数（客室10室）</t>
  </si>
  <si>
    <t>0〜10室</t>
  </si>
  <si>
    <t>客室数を超えて販売している</t>
  </si>
  <si>
    <t>料理原価率</t>
  </si>
  <si>
    <t>20%〜40%</t>
  </si>
  <si>
    <t>5%は低すぎ（仕入計上漏れの疑い）</t>
  </si>
  <si>
    <t>正社員1人あたり人件費（月）</t>
  </si>
  <si>
    <t>25〜40万円/月</t>
  </si>
  <si>
    <t>月5万円は非現実的（年額混同の疑い）</t>
  </si>
  <si>
    <t>すべて意図的に「異常」になる例です。IF＋AND で常識レンジ内かを自動判定できます。</t>
  </si>
  <si>
    <t>$D　＝列固定、　$38　＝行固定。　　　　　　F4キーで $ の位置を切替。</t>
    <rPh sb="4" eb="5">
      <t>レツ</t>
    </rPh>
    <rPh sb="14" eb="15">
      <t>ギョウ</t>
    </rPh>
    <phoneticPr fontId="11"/>
  </si>
  <si>
    <t>作業手順</t>
    <rPh sb="0" eb="4">
      <t>サギョウテジュン</t>
    </rPh>
    <phoneticPr fontId="11"/>
  </si>
  <si>
    <t>　　G27で、　Ctrl+C（コピー）　➡　Ctrl+Shift+↓（範囲選択）　➡　alt, E, S, F（数式貼り付け）</t>
    <phoneticPr fontId="11"/>
  </si>
  <si>
    <t>　　E39で、F2（セル編集）　➡　F4（$の位置切替）　➡　Enter（編集終了）</t>
    <phoneticPr fontId="11"/>
  </si>
  <si>
    <t>　　E39で、　Ctrl+C（コピー）　➡　Ctrl+Shift+↓, ➞（範囲選択）　➡　alt, E, S, F（数式貼り付け）</t>
    <phoneticPr fontId="11"/>
  </si>
  <si>
    <t>② OTAのユニーク一覧</t>
    <phoneticPr fontId="11"/>
  </si>
  <si>
    <t>③ 実例：OTA別の売上集計と FILTER 抽出</t>
    <rPh sb="2" eb="4">
      <t>ジツレイ</t>
    </rPh>
    <phoneticPr fontId="11"/>
  </si>
  <si>
    <t>=SORT(UNIQUE(...))</t>
    <phoneticPr fontId="11"/>
  </si>
  <si>
    <t>↑ このセルに1つ入れるだけで、</t>
    <phoneticPr fontId="11"/>
  </si>
  <si>
    <t>重複を除いた経路名が下方向にスピル表示されます。</t>
    <phoneticPr fontId="11"/>
  </si>
  <si>
    <t>・・・・</t>
    <phoneticPr fontId="11"/>
  </si>
  <si>
    <t>Inputシートより</t>
  </si>
  <si>
    <t>Inputシートより</t>
    <phoneticPr fontId="11"/>
  </si>
  <si>
    <t>稼働室数（室・年）</t>
    <rPh sb="0" eb="2">
      <t>カドウ</t>
    </rPh>
    <phoneticPr fontId="11"/>
  </si>
  <si>
    <t>宿泊人数/室</t>
    <phoneticPr fontId="11"/>
  </si>
  <si>
    <t>稼働室数x宿泊人数/室×飲食単価/人</t>
    <rPh sb="0" eb="4">
      <t>カドウシツスウ</t>
    </rPh>
    <phoneticPr fontId="11"/>
  </si>
  <si>
    <t>変動費率</t>
    <rPh sb="0" eb="4">
      <t>ヘンドウヒリツ</t>
    </rPh>
    <phoneticPr fontId="11"/>
  </si>
  <si>
    <t>重要！：原則、青字、緑字、黒字を1セルにごっちゃにして計算しない。</t>
    <rPh sb="0" eb="2">
      <t>ジュウヨウ</t>
    </rPh>
    <rPh sb="4" eb="6">
      <t>ゲンソク</t>
    </rPh>
    <rPh sb="7" eb="9">
      <t>アオジ</t>
    </rPh>
    <rPh sb="10" eb="11">
      <t>ミドリ</t>
    </rPh>
    <rPh sb="11" eb="12">
      <t>ジ</t>
    </rPh>
    <rPh sb="13" eb="15">
      <t>クロジ</t>
    </rPh>
    <rPh sb="27" eb="29">
      <t>ケイサン</t>
    </rPh>
    <phoneticPr fontId="11"/>
  </si>
  <si>
    <t>PPTに張り付けるサマリなどは、数字の色を付けません。</t>
    <rPh sb="4" eb="5">
      <t>ハ</t>
    </rPh>
    <rPh sb="6" eb="7">
      <t>ツ</t>
    </rPh>
    <rPh sb="16" eb="18">
      <t>スウジ</t>
    </rPh>
    <rPh sb="19" eb="20">
      <t>イロ</t>
    </rPh>
    <rPh sb="21" eb="22">
      <t>ツ</t>
    </rPh>
    <phoneticPr fontId="11"/>
  </si>
  <si>
    <t>単位：　百万円</t>
    <rPh sb="0" eb="2">
      <t>タンイ</t>
    </rPh>
    <rPh sb="4" eb="7">
      <t>ヒャクマンエン</t>
    </rPh>
    <phoneticPr fontId="11"/>
  </si>
  <si>
    <t>金額</t>
    <phoneticPr fontId="11"/>
  </si>
  <si>
    <t>【コストドライバー】</t>
    <phoneticPr fontId="11"/>
  </si>
  <si>
    <t>変動費</t>
    <phoneticPr fontId="11"/>
  </si>
  <si>
    <t>固定費</t>
    <phoneticPr fontId="11"/>
  </si>
  <si>
    <t>対売上%</t>
    <phoneticPr fontId="11"/>
  </si>
  <si>
    <t>売上構成%</t>
    <rPh sb="0" eb="2">
      <t>ウリアゲ</t>
    </rPh>
    <rPh sb="2" eb="4">
      <t>コウセイ</t>
    </rPh>
    <phoneticPr fontId="11"/>
  </si>
  <si>
    <t>2-1. 実績集計 ― 元データと集計結果（XLOOKUP）</t>
    <phoneticPr fontId="11"/>
  </si>
  <si>
    <t>行</t>
  </si>
  <si>
    <t>B 商品コード</t>
  </si>
  <si>
    <t>C 商品名</t>
  </si>
  <si>
    <t>D 数量</t>
  </si>
  <si>
    <t>F 売上(円)</t>
  </si>
  <si>
    <t>F-102</t>
  </si>
  <si>
    <t>F-101</t>
  </si>
  <si>
    <t>F-103</t>
  </si>
  <si>
    <t>F-999</t>
  </si>
  <si>
    <t>② 元データ：マスター</t>
    <rPh sb="2" eb="3">
      <t>モト</t>
    </rPh>
    <phoneticPr fontId="11"/>
  </si>
  <si>
    <t>A 商品コード</t>
  </si>
  <si>
    <t>B 商品名</t>
  </si>
  <si>
    <t>C 原価(円)</t>
  </si>
  <si>
    <t>金目鯛煮付</t>
  </si>
  <si>
    <t>鮑ステーキ</t>
  </si>
  <si>
    <t>地魚刺身盛</t>
  </si>
  <si>
    <t>E 原価単価(円)</t>
  </si>
  <si>
    <t>F 原価計(円)</t>
  </si>
  <si>
    <t>売上</t>
    <rPh sb="0" eb="2">
      <t>ウリアゲ</t>
    </rPh>
    <phoneticPr fontId="11"/>
  </si>
  <si>
    <t>原価率</t>
    <rPh sb="0" eb="3">
      <t>ゲンカリツ</t>
    </rPh>
    <phoneticPr fontId="11"/>
  </si>
  <si>
    <t>③ 集計：商品別売上と原価率</t>
    <rPh sb="5" eb="8">
      <t>ショウヒンベツ</t>
    </rPh>
    <rPh sb="8" eb="10">
      <t>ウリアゲ</t>
    </rPh>
    <rPh sb="11" eb="14">
      <t>ゲンカリツ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</si>
</sst>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.0"/>
    <numFmt numFmtId="177" formatCode="0.0%"/>
    <numFmt numFmtId="178" formatCode="0.0"/>
    <numFmt numFmtId="179" formatCode="#,##0%;[Red]\-#,##0%"/>
    <numFmt numFmtId="180" formatCode="#,##0.00000"/>
    <numFmt numFmtId="181" formatCode="#,##0.0%;[Red]\-#,##0.0%"/>
    <numFmt numFmtId="182" formatCode="0.000"/>
  </numFmts>
  <fonts count="29" x14ac:knownFonts="1">
    <font>
      <sz val="11"/>
      <color theme="1"/>
      <name val="ＭＳ Ｐゴシック"/>
      <family val="2"/>
      <scheme val="minor"/>
    </font>
    <font>
      <sz val="11"/>
      <color theme="1"/>
      <name val="Meiryo UI"/>
      <family val="2"/>
      <charset val="128"/>
    </font>
    <font>
      <b/>
      <sz val="14"/>
      <color rgb="FF002060"/>
      <name val="Meiryo UI"/>
      <family val="3"/>
      <charset val="128"/>
    </font>
    <font>
      <sz val="9"/>
      <color rgb="FF666666"/>
      <name val="Meiryo UI"/>
      <family val="3"/>
      <charset val="128"/>
    </font>
    <font>
      <b/>
      <sz val="10"/>
      <color rgb="FF1F3A4D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9"/>
      <color rgb="FFFF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0"/>
      <color indexed="8"/>
      <name val="Meiryo UI"/>
      <family val="3"/>
      <charset val="128"/>
    </font>
    <font>
      <sz val="10"/>
      <color indexed="8"/>
      <name val="Meiryo UI"/>
      <family val="3"/>
      <charset val="128"/>
    </font>
    <font>
      <sz val="11"/>
      <color rgb="FFFFFFFF"/>
      <name val="ＭＳ Ｐゴシック"/>
      <family val="2"/>
      <scheme val="minor"/>
    </font>
    <font>
      <sz val="11"/>
      <color indexed="8"/>
      <name val="ＭＳ Ｐゴシック"/>
      <family val="2"/>
      <scheme val="minor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4"/>
      <color rgb="FF002060"/>
      <name val="Meiryo UI"/>
      <family val="3"/>
      <charset val="128"/>
    </font>
    <font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i/>
      <sz val="10"/>
      <color rgb="FF80808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4">
    <xf numFmtId="0" fontId="0" fillId="0" borderId="0"/>
    <xf numFmtId="38" fontId="10" fillId="0" borderId="0">
      <alignment vertical="center"/>
    </xf>
    <xf numFmtId="0" fontId="1" fillId="0" borderId="0">
      <alignment vertical="center"/>
    </xf>
    <xf numFmtId="9" fontId="10" fillId="0" borderId="0" applyFont="0" applyFill="0" applyBorder="0" applyAlignment="0" applyProtection="0">
      <alignment vertical="center"/>
    </xf>
  </cellStyleXfs>
  <cellXfs count="191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3" fontId="6" fillId="0" borderId="7" xfId="0" applyNumberFormat="1" applyFont="1" applyBorder="1" applyAlignment="1">
      <alignment horizontal="right" vertical="center"/>
    </xf>
    <xf numFmtId="3" fontId="6" fillId="0" borderId="8" xfId="0" applyNumberFormat="1" applyFont="1" applyBorder="1" applyAlignment="1">
      <alignment horizontal="right" vertical="center"/>
    </xf>
    <xf numFmtId="3" fontId="6" fillId="0" borderId="9" xfId="0" applyNumberFormat="1" applyFont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0" fontId="14" fillId="6" borderId="0" xfId="0" applyFont="1" applyFill="1"/>
    <xf numFmtId="0" fontId="8" fillId="4" borderId="1" xfId="0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vertical="center"/>
    </xf>
    <xf numFmtId="176" fontId="13" fillId="0" borderId="1" xfId="0" applyNumberFormat="1" applyFont="1" applyBorder="1" applyAlignment="1">
      <alignment vertical="center"/>
    </xf>
    <xf numFmtId="3" fontId="13" fillId="0" borderId="1" xfId="0" applyNumberFormat="1" applyFont="1" applyBorder="1" applyAlignment="1">
      <alignment vertical="center"/>
    </xf>
    <xf numFmtId="2" fontId="13" fillId="0" borderId="1" xfId="0" applyNumberFormat="1" applyFont="1" applyBorder="1" applyAlignment="1">
      <alignment horizontal="right" vertical="center"/>
    </xf>
    <xf numFmtId="0" fontId="6" fillId="5" borderId="0" xfId="0" applyFont="1" applyFill="1" applyAlignment="1">
      <alignment horizontal="left" vertical="center"/>
    </xf>
    <xf numFmtId="3" fontId="6" fillId="5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3" fillId="0" borderId="0" xfId="0" applyFont="1" applyAlignment="1">
      <alignment horizontal="centerContinuous" vertical="center"/>
    </xf>
    <xf numFmtId="0" fontId="15" fillId="0" borderId="0" xfId="0" applyFont="1"/>
    <xf numFmtId="0" fontId="6" fillId="5" borderId="4" xfId="0" applyFont="1" applyFill="1" applyBorder="1" applyAlignment="1">
      <alignment horizontal="left" vertical="center"/>
    </xf>
    <xf numFmtId="3" fontId="6" fillId="5" borderId="7" xfId="0" applyNumberFormat="1" applyFont="1" applyFill="1" applyBorder="1" applyAlignment="1">
      <alignment horizontal="right" vertical="center"/>
    </xf>
    <xf numFmtId="0" fontId="6" fillId="5" borderId="5" xfId="0" applyFont="1" applyFill="1" applyBorder="1" applyAlignment="1">
      <alignment horizontal="left" vertical="center"/>
    </xf>
    <xf numFmtId="3" fontId="6" fillId="5" borderId="8" xfId="0" applyNumberFormat="1" applyFont="1" applyFill="1" applyBorder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3" fontId="6" fillId="5" borderId="9" xfId="0" applyNumberFormat="1" applyFont="1" applyFill="1" applyBorder="1" applyAlignment="1">
      <alignment horizontal="right" vertical="center"/>
    </xf>
    <xf numFmtId="0" fontId="13" fillId="5" borderId="0" xfId="0" applyFont="1" applyFill="1" applyAlignment="1">
      <alignment horizontal="center" vertical="center"/>
    </xf>
    <xf numFmtId="0" fontId="12" fillId="0" borderId="1" xfId="0" applyFont="1" applyBorder="1" applyAlignment="1">
      <alignment vertical="center"/>
    </xf>
    <xf numFmtId="3" fontId="9" fillId="0" borderId="7" xfId="0" applyNumberFormat="1" applyFont="1" applyBorder="1" applyAlignment="1">
      <alignment horizontal="right" vertical="center"/>
    </xf>
    <xf numFmtId="3" fontId="9" fillId="0" borderId="4" xfId="0" applyNumberFormat="1" applyFont="1" applyBorder="1" applyAlignment="1">
      <alignment horizontal="right" vertical="center"/>
    </xf>
    <xf numFmtId="3" fontId="9" fillId="0" borderId="8" xfId="0" applyNumberFormat="1" applyFont="1" applyBorder="1" applyAlignment="1">
      <alignment horizontal="right" vertical="center"/>
    </xf>
    <xf numFmtId="3" fontId="9" fillId="0" borderId="5" xfId="0" applyNumberFormat="1" applyFont="1" applyBorder="1" applyAlignment="1">
      <alignment horizontal="right" vertical="center"/>
    </xf>
    <xf numFmtId="3" fontId="9" fillId="0" borderId="9" xfId="0" applyNumberFormat="1" applyFont="1" applyBorder="1" applyAlignment="1">
      <alignment horizontal="right" vertical="center"/>
    </xf>
    <xf numFmtId="3" fontId="9" fillId="0" borderId="6" xfId="0" applyNumberFormat="1" applyFont="1" applyBorder="1" applyAlignment="1">
      <alignment horizontal="right" vertical="center"/>
    </xf>
    <xf numFmtId="177" fontId="9" fillId="0" borderId="7" xfId="0" applyNumberFormat="1" applyFont="1" applyBorder="1" applyAlignment="1">
      <alignment horizontal="right" vertical="center"/>
    </xf>
    <xf numFmtId="177" fontId="9" fillId="0" borderId="8" xfId="0" applyNumberFormat="1" applyFont="1" applyBorder="1" applyAlignment="1">
      <alignment horizontal="right" vertical="center"/>
    </xf>
    <xf numFmtId="177" fontId="9" fillId="0" borderId="9" xfId="0" applyNumberFormat="1" applyFont="1" applyBorder="1" applyAlignment="1">
      <alignment horizontal="right" vertical="center"/>
    </xf>
    <xf numFmtId="3" fontId="6" fillId="5" borderId="4" xfId="0" applyNumberFormat="1" applyFont="1" applyFill="1" applyBorder="1" applyAlignment="1">
      <alignment horizontal="right" vertical="center"/>
    </xf>
    <xf numFmtId="3" fontId="6" fillId="5" borderId="5" xfId="0" applyNumberFormat="1" applyFont="1" applyFill="1" applyBorder="1" applyAlignment="1">
      <alignment horizontal="right" vertical="center"/>
    </xf>
    <xf numFmtId="3" fontId="6" fillId="5" borderId="6" xfId="0" applyNumberFormat="1" applyFont="1" applyFill="1" applyBorder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38" fontId="13" fillId="0" borderId="4" xfId="1" applyFont="1" applyBorder="1">
      <alignment vertical="center"/>
    </xf>
    <xf numFmtId="38" fontId="13" fillId="0" borderId="6" xfId="1" applyFont="1" applyBorder="1">
      <alignment vertical="center"/>
    </xf>
    <xf numFmtId="38" fontId="13" fillId="0" borderId="7" xfId="1" applyFont="1" applyBorder="1">
      <alignment vertical="center"/>
    </xf>
    <xf numFmtId="38" fontId="13" fillId="0" borderId="9" xfId="1" applyFont="1" applyBorder="1">
      <alignment vertical="center"/>
    </xf>
    <xf numFmtId="38" fontId="13" fillId="0" borderId="2" xfId="1" applyFont="1" applyBorder="1">
      <alignment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3" fontId="22" fillId="0" borderId="14" xfId="0" applyNumberFormat="1" applyFont="1" applyBorder="1" applyAlignment="1">
      <alignment horizontal="right" vertical="center"/>
    </xf>
    <xf numFmtId="0" fontId="22" fillId="0" borderId="17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3" fontId="22" fillId="0" borderId="15" xfId="0" applyNumberFormat="1" applyFont="1" applyBorder="1" applyAlignment="1">
      <alignment horizontal="right" vertical="center"/>
    </xf>
    <xf numFmtId="0" fontId="22" fillId="0" borderId="16" xfId="0" applyFont="1" applyBorder="1" applyAlignment="1">
      <alignment horizontal="left" vertical="center"/>
    </xf>
    <xf numFmtId="3" fontId="22" fillId="0" borderId="16" xfId="0" applyNumberFormat="1" applyFont="1" applyBorder="1" applyAlignment="1">
      <alignment horizontal="right" vertical="center"/>
    </xf>
    <xf numFmtId="3" fontId="23" fillId="3" borderId="14" xfId="0" applyNumberFormat="1" applyFont="1" applyFill="1" applyBorder="1" applyAlignment="1">
      <alignment horizontal="right" vertical="center"/>
    </xf>
    <xf numFmtId="0" fontId="22" fillId="0" borderId="14" xfId="0" applyFont="1" applyBorder="1" applyAlignment="1">
      <alignment horizontal="center" vertical="center"/>
    </xf>
    <xf numFmtId="3" fontId="23" fillId="3" borderId="15" xfId="0" applyNumberFormat="1" applyFont="1" applyFill="1" applyBorder="1" applyAlignment="1">
      <alignment horizontal="right" vertical="center"/>
    </xf>
    <xf numFmtId="0" fontId="22" fillId="0" borderId="15" xfId="0" applyFont="1" applyBorder="1" applyAlignment="1">
      <alignment horizontal="center" vertical="center"/>
    </xf>
    <xf numFmtId="177" fontId="23" fillId="3" borderId="15" xfId="0" applyNumberFormat="1" applyFont="1" applyFill="1" applyBorder="1" applyAlignment="1">
      <alignment horizontal="right" vertical="center"/>
    </xf>
    <xf numFmtId="178" fontId="23" fillId="3" borderId="15" xfId="0" applyNumberFormat="1" applyFont="1" applyFill="1" applyBorder="1" applyAlignment="1">
      <alignment horizontal="right" vertical="center"/>
    </xf>
    <xf numFmtId="3" fontId="23" fillId="3" borderId="16" xfId="0" applyNumberFormat="1" applyFont="1" applyFill="1" applyBorder="1" applyAlignment="1">
      <alignment horizontal="right" vertical="center"/>
    </xf>
    <xf numFmtId="0" fontId="22" fillId="0" borderId="16" xfId="0" applyFont="1" applyBorder="1" applyAlignment="1">
      <alignment horizontal="center" vertical="center"/>
    </xf>
    <xf numFmtId="177" fontId="23" fillId="3" borderId="14" xfId="0" applyNumberFormat="1" applyFont="1" applyFill="1" applyBorder="1" applyAlignment="1">
      <alignment horizontal="right" vertical="center"/>
    </xf>
    <xf numFmtId="3" fontId="24" fillId="0" borderId="14" xfId="0" applyNumberFormat="1" applyFont="1" applyBorder="1" applyAlignment="1">
      <alignment horizontal="right" vertical="center"/>
    </xf>
    <xf numFmtId="177" fontId="22" fillId="0" borderId="15" xfId="0" applyNumberFormat="1" applyFont="1" applyBorder="1" applyAlignment="1">
      <alignment horizontal="right" vertical="center"/>
    </xf>
    <xf numFmtId="0" fontId="25" fillId="0" borderId="14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1" fontId="22" fillId="0" borderId="15" xfId="0" applyNumberFormat="1" applyFont="1" applyBorder="1" applyAlignment="1">
      <alignment horizontal="right" vertical="center"/>
    </xf>
    <xf numFmtId="0" fontId="26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left" vertical="center"/>
    </xf>
    <xf numFmtId="0" fontId="26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17" xfId="0" quotePrefix="1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3" fontId="16" fillId="0" borderId="14" xfId="0" applyNumberFormat="1" applyFont="1" applyBorder="1" applyAlignment="1">
      <alignment horizontal="right" vertical="center"/>
    </xf>
    <xf numFmtId="0" fontId="13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179" fontId="16" fillId="0" borderId="0" xfId="0" applyNumberFormat="1" applyFont="1" applyAlignment="1">
      <alignment horizontal="right" vertical="center"/>
    </xf>
    <xf numFmtId="0" fontId="13" fillId="0" borderId="15" xfId="0" applyFont="1" applyBorder="1" applyAlignment="1">
      <alignment horizontal="left" vertical="center"/>
    </xf>
    <xf numFmtId="3" fontId="16" fillId="0" borderId="15" xfId="0" applyNumberFormat="1" applyFont="1" applyBorder="1" applyAlignment="1">
      <alignment horizontal="right" vertical="center"/>
    </xf>
    <xf numFmtId="0" fontId="13" fillId="0" borderId="20" xfId="0" applyFont="1" applyBorder="1" applyAlignment="1">
      <alignment horizontal="left" vertical="center"/>
    </xf>
    <xf numFmtId="179" fontId="16" fillId="0" borderId="20" xfId="0" applyNumberFormat="1" applyFont="1" applyBorder="1" applyAlignment="1">
      <alignment horizontal="right" vertical="center"/>
    </xf>
    <xf numFmtId="3" fontId="24" fillId="0" borderId="20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 vertical="center"/>
    </xf>
    <xf numFmtId="3" fontId="24" fillId="0" borderId="0" xfId="0" applyNumberFormat="1" applyFont="1" applyAlignment="1">
      <alignment horizontal="right" vertical="center"/>
    </xf>
    <xf numFmtId="0" fontId="22" fillId="0" borderId="18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3" fontId="24" fillId="0" borderId="17" xfId="0" applyNumberFormat="1" applyFont="1" applyBorder="1" applyAlignment="1">
      <alignment horizontal="right" vertical="center"/>
    </xf>
    <xf numFmtId="0" fontId="6" fillId="0" borderId="16" xfId="0" applyFont="1" applyBorder="1" applyAlignment="1">
      <alignment horizontal="left" vertical="center"/>
    </xf>
    <xf numFmtId="3" fontId="24" fillId="0" borderId="16" xfId="0" applyNumberFormat="1" applyFont="1" applyBorder="1" applyAlignment="1">
      <alignment horizontal="right" vertical="center"/>
    </xf>
    <xf numFmtId="3" fontId="6" fillId="0" borderId="2" xfId="0" applyNumberFormat="1" applyFont="1" applyBorder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176" fontId="13" fillId="0" borderId="19" xfId="0" applyNumberFormat="1" applyFont="1" applyBorder="1" applyAlignment="1">
      <alignment horizontal="right" vertical="center"/>
    </xf>
    <xf numFmtId="176" fontId="24" fillId="0" borderId="14" xfId="0" applyNumberFormat="1" applyFont="1" applyBorder="1" applyAlignment="1">
      <alignment horizontal="right" vertical="center"/>
    </xf>
    <xf numFmtId="0" fontId="22" fillId="0" borderId="20" xfId="0" applyFont="1" applyBorder="1" applyAlignment="1">
      <alignment horizontal="left" vertical="center"/>
    </xf>
    <xf numFmtId="3" fontId="22" fillId="0" borderId="0" xfId="0" applyNumberFormat="1" applyFont="1" applyAlignment="1">
      <alignment horizontal="right" vertical="center"/>
    </xf>
    <xf numFmtId="3" fontId="13" fillId="0" borderId="18" xfId="0" applyNumberFormat="1" applyFont="1" applyBorder="1" applyAlignment="1">
      <alignment horizontal="right" vertical="center"/>
    </xf>
    <xf numFmtId="3" fontId="16" fillId="0" borderId="16" xfId="0" applyNumberFormat="1" applyFont="1" applyBorder="1" applyAlignment="1">
      <alignment horizontal="right" vertical="center"/>
    </xf>
    <xf numFmtId="0" fontId="17" fillId="4" borderId="2" xfId="0" applyFont="1" applyFill="1" applyBorder="1" applyAlignment="1">
      <alignment horizontal="left" vertical="center"/>
    </xf>
    <xf numFmtId="3" fontId="25" fillId="4" borderId="2" xfId="0" applyNumberFormat="1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left" vertical="center"/>
    </xf>
    <xf numFmtId="0" fontId="17" fillId="4" borderId="18" xfId="0" applyFont="1" applyFill="1" applyBorder="1" applyAlignment="1">
      <alignment horizontal="left" vertical="center"/>
    </xf>
    <xf numFmtId="3" fontId="17" fillId="4" borderId="18" xfId="0" applyNumberFormat="1" applyFont="1" applyFill="1" applyBorder="1" applyAlignment="1">
      <alignment horizontal="right" vertical="center"/>
    </xf>
    <xf numFmtId="0" fontId="22" fillId="4" borderId="18" xfId="0" applyFont="1" applyFill="1" applyBorder="1" applyAlignment="1">
      <alignment horizontal="left" vertical="center"/>
    </xf>
    <xf numFmtId="3" fontId="17" fillId="4" borderId="2" xfId="0" applyNumberFormat="1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/>
    </xf>
    <xf numFmtId="0" fontId="17" fillId="4" borderId="0" xfId="0" applyFont="1" applyFill="1" applyAlignment="1">
      <alignment horizontal="left" vertical="center"/>
    </xf>
    <xf numFmtId="3" fontId="12" fillId="4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176" fontId="13" fillId="0" borderId="2" xfId="0" applyNumberFormat="1" applyFont="1" applyBorder="1" applyAlignment="1">
      <alignment horizontal="right" vertical="center"/>
    </xf>
    <xf numFmtId="177" fontId="22" fillId="0" borderId="2" xfId="0" applyNumberFormat="1" applyFont="1" applyBorder="1" applyAlignment="1">
      <alignment horizontal="right" vertical="center"/>
    </xf>
    <xf numFmtId="177" fontId="22" fillId="0" borderId="19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12" fillId="4" borderId="2" xfId="0" applyNumberFormat="1" applyFont="1" applyFill="1" applyBorder="1" applyAlignment="1">
      <alignment horizontal="right" vertical="center"/>
    </xf>
    <xf numFmtId="177" fontId="17" fillId="4" borderId="2" xfId="0" applyNumberFormat="1" applyFont="1" applyFill="1" applyBorder="1" applyAlignment="1">
      <alignment horizontal="right" vertical="center"/>
    </xf>
    <xf numFmtId="0" fontId="22" fillId="0" borderId="0" xfId="0" applyFont="1" applyAlignment="1">
      <alignment vertical="center"/>
    </xf>
    <xf numFmtId="180" fontId="28" fillId="0" borderId="14" xfId="0" applyNumberFormat="1" applyFont="1" applyBorder="1" applyAlignment="1">
      <alignment horizontal="right" vertical="center"/>
    </xf>
    <xf numFmtId="180" fontId="28" fillId="0" borderId="15" xfId="0" applyNumberFormat="1" applyFont="1" applyBorder="1" applyAlignment="1">
      <alignment horizontal="right" vertical="center"/>
    </xf>
    <xf numFmtId="0" fontId="22" fillId="0" borderId="21" xfId="0" applyFont="1" applyBorder="1" applyAlignment="1">
      <alignment vertical="center"/>
    </xf>
    <xf numFmtId="3" fontId="22" fillId="0" borderId="20" xfId="0" applyNumberFormat="1" applyFont="1" applyBorder="1" applyAlignment="1">
      <alignment horizontal="right" vertical="center"/>
    </xf>
    <xf numFmtId="177" fontId="13" fillId="0" borderId="14" xfId="0" applyNumberFormat="1" applyFont="1" applyBorder="1" applyAlignment="1">
      <alignment horizontal="right" vertical="center"/>
    </xf>
    <xf numFmtId="177" fontId="13" fillId="0" borderId="16" xfId="0" applyNumberFormat="1" applyFont="1" applyBorder="1" applyAlignment="1">
      <alignment horizontal="right" vertical="center"/>
    </xf>
    <xf numFmtId="181" fontId="13" fillId="0" borderId="14" xfId="0" applyNumberFormat="1" applyFont="1" applyBorder="1" applyAlignment="1">
      <alignment horizontal="right" vertical="center"/>
    </xf>
    <xf numFmtId="181" fontId="13" fillId="0" borderId="20" xfId="0" applyNumberFormat="1" applyFont="1" applyBorder="1" applyAlignment="1">
      <alignment horizontal="right" vertical="center"/>
    </xf>
    <xf numFmtId="181" fontId="13" fillId="0" borderId="2" xfId="0" applyNumberFormat="1" applyFont="1" applyBorder="1" applyAlignment="1">
      <alignment horizontal="right" vertical="center"/>
    </xf>
    <xf numFmtId="1" fontId="9" fillId="0" borderId="14" xfId="0" applyNumberFormat="1" applyFont="1" applyBorder="1" applyAlignment="1">
      <alignment horizontal="right" vertical="center"/>
    </xf>
    <xf numFmtId="177" fontId="9" fillId="0" borderId="16" xfId="0" applyNumberFormat="1" applyFont="1" applyBorder="1" applyAlignment="1">
      <alignment horizontal="right" vertical="center"/>
    </xf>
    <xf numFmtId="1" fontId="16" fillId="0" borderId="14" xfId="0" applyNumberFormat="1" applyFont="1" applyBorder="1" applyAlignment="1">
      <alignment horizontal="right" vertical="center"/>
    </xf>
    <xf numFmtId="177" fontId="16" fillId="0" borderId="16" xfId="0" applyNumberFormat="1" applyFont="1" applyBorder="1" applyAlignment="1">
      <alignment horizontal="right" vertical="center"/>
    </xf>
    <xf numFmtId="182" fontId="28" fillId="0" borderId="14" xfId="0" applyNumberFormat="1" applyFont="1" applyBorder="1" applyAlignment="1">
      <alignment horizontal="right" vertical="center"/>
    </xf>
    <xf numFmtId="182" fontId="28" fillId="0" borderId="15" xfId="0" applyNumberFormat="1" applyFont="1" applyBorder="1" applyAlignment="1">
      <alignment horizontal="right" vertical="center"/>
    </xf>
    <xf numFmtId="182" fontId="28" fillId="0" borderId="16" xfId="0" applyNumberFormat="1" applyFont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/>
    </xf>
    <xf numFmtId="3" fontId="9" fillId="5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center" vertical="center"/>
    </xf>
    <xf numFmtId="177" fontId="23" fillId="3" borderId="1" xfId="0" applyNumberFormat="1" applyFont="1" applyFill="1" applyBorder="1" applyAlignment="1">
      <alignment horizontal="right" vertical="center"/>
    </xf>
    <xf numFmtId="3" fontId="23" fillId="3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10" xfId="0" applyBorder="1"/>
    <xf numFmtId="0" fontId="13" fillId="0" borderId="16" xfId="0" applyFont="1" applyBorder="1" applyAlignment="1">
      <alignment horizontal="left" vertical="center"/>
    </xf>
    <xf numFmtId="0" fontId="13" fillId="0" borderId="21" xfId="0" applyFont="1" applyBorder="1" applyAlignment="1">
      <alignment vertical="center"/>
    </xf>
    <xf numFmtId="0" fontId="13" fillId="0" borderId="21" xfId="0" applyFont="1" applyBorder="1" applyAlignment="1">
      <alignment horizontal="left" vertical="center"/>
    </xf>
    <xf numFmtId="3" fontId="13" fillId="0" borderId="21" xfId="0" applyNumberFormat="1" applyFont="1" applyBorder="1" applyAlignment="1">
      <alignment horizontal="right" vertical="center"/>
    </xf>
    <xf numFmtId="0" fontId="13" fillId="0" borderId="14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9" fontId="13" fillId="0" borderId="7" xfId="3" applyFont="1" applyBorder="1" applyAlignment="1">
      <alignment vertical="center"/>
    </xf>
    <xf numFmtId="0" fontId="13" fillId="0" borderId="15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9" fontId="13" fillId="0" borderId="8" xfId="3" applyFont="1" applyBorder="1" applyAlignment="1">
      <alignment vertical="center"/>
    </xf>
    <xf numFmtId="0" fontId="13" fillId="0" borderId="16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9" fontId="13" fillId="0" borderId="9" xfId="3" applyFont="1" applyBorder="1" applyAlignment="1">
      <alignment vertical="center"/>
    </xf>
    <xf numFmtId="38" fontId="13" fillId="0" borderId="14" xfId="0" applyNumberFormat="1" applyFont="1" applyBorder="1" applyAlignment="1">
      <alignment vertical="center"/>
    </xf>
    <xf numFmtId="38" fontId="13" fillId="0" borderId="15" xfId="0" applyNumberFormat="1" applyFont="1" applyBorder="1" applyAlignment="1">
      <alignment vertical="center"/>
    </xf>
    <xf numFmtId="38" fontId="13" fillId="0" borderId="16" xfId="0" applyNumberFormat="1" applyFont="1" applyBorder="1" applyAlignment="1">
      <alignment vertical="center"/>
    </xf>
    <xf numFmtId="38" fontId="13" fillId="0" borderId="7" xfId="0" applyNumberFormat="1" applyFont="1" applyBorder="1" applyAlignment="1">
      <alignment vertical="center"/>
    </xf>
    <xf numFmtId="38" fontId="13" fillId="0" borderId="8" xfId="0" applyNumberFormat="1" applyFont="1" applyBorder="1" applyAlignment="1">
      <alignment vertical="center"/>
    </xf>
    <xf numFmtId="38" fontId="13" fillId="0" borderId="9" xfId="0" applyNumberFormat="1" applyFont="1" applyBorder="1" applyAlignment="1">
      <alignment vertical="center"/>
    </xf>
    <xf numFmtId="0" fontId="13" fillId="0" borderId="21" xfId="0" applyFont="1" applyBorder="1" applyAlignment="1">
      <alignment horizontal="center" vertical="center"/>
    </xf>
    <xf numFmtId="38" fontId="9" fillId="5" borderId="1" xfId="1" applyFont="1" applyFill="1" applyBorder="1">
      <alignment vertical="center"/>
    </xf>
  </cellXfs>
  <cellStyles count="4">
    <cellStyle name="パーセント" xfId="3" builtinId="5"/>
    <cellStyle name="桁区切り" xfId="1" builtinId="6"/>
    <cellStyle name="標準" xfId="0" builtinId="0"/>
    <cellStyle name="標準 2" xfId="2" xr:uid="{00000000-0005-0000-0000-000002000000}"/>
  </cellStyles>
  <dxfs count="6"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1"/>
  <sheetViews>
    <sheetView showGridLines="0" workbookViewId="0"/>
  </sheetViews>
  <sheetFormatPr defaultRowHeight="13" x14ac:dyDescent="0.2"/>
  <cols>
    <col min="1" max="3" width="2.36328125" customWidth="1"/>
    <col min="4" max="4" width="24.08984375" customWidth="1"/>
    <col min="5" max="9" width="12.26953125" customWidth="1"/>
  </cols>
  <sheetData>
    <row r="2" spans="2:9" ht="19.5" customHeight="1" x14ac:dyDescent="0.2">
      <c r="B2" s="1" t="s">
        <v>0</v>
      </c>
      <c r="C2" s="1"/>
    </row>
    <row r="5" spans="2:9" ht="13.5" customHeight="1" x14ac:dyDescent="0.2">
      <c r="C5" s="2"/>
      <c r="D5" s="16" t="s">
        <v>1</v>
      </c>
      <c r="E5" s="17"/>
      <c r="F5" s="17"/>
      <c r="G5" s="17"/>
      <c r="H5" s="17"/>
      <c r="I5" s="17"/>
    </row>
    <row r="6" spans="2:9" ht="13.5" customHeight="1" x14ac:dyDescent="0.2">
      <c r="C6" s="2"/>
      <c r="D6" s="2"/>
      <c r="E6" s="2"/>
      <c r="F6" s="2"/>
      <c r="G6" s="2"/>
      <c r="H6" s="2"/>
      <c r="I6" s="2"/>
    </row>
    <row r="7" spans="2:9" ht="13.5" customHeight="1" x14ac:dyDescent="0.2"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9" ht="13.5" customHeight="1" x14ac:dyDescent="0.2">
      <c r="D8" s="10" t="s">
        <v>8</v>
      </c>
      <c r="E8" s="43">
        <v>30</v>
      </c>
      <c r="F8" s="44">
        <v>30</v>
      </c>
      <c r="G8" s="49">
        <v>0.68</v>
      </c>
      <c r="H8" s="44">
        <v>52000</v>
      </c>
      <c r="I8" s="13">
        <f>E8*F8*G8*H8/10^3</f>
        <v>31824</v>
      </c>
    </row>
    <row r="9" spans="2:9" ht="13.5" customHeight="1" x14ac:dyDescent="0.2">
      <c r="D9" s="11" t="s">
        <v>9</v>
      </c>
      <c r="E9" s="45">
        <v>30</v>
      </c>
      <c r="F9" s="46">
        <v>30</v>
      </c>
      <c r="G9" s="50">
        <v>0.72</v>
      </c>
      <c r="H9" s="46">
        <v>61000</v>
      </c>
      <c r="I9" s="14">
        <f>E9*F9*G9*H9/10^3</f>
        <v>39528</v>
      </c>
    </row>
    <row r="10" spans="2:9" ht="13.5" customHeight="1" x14ac:dyDescent="0.2">
      <c r="D10" s="12" t="s">
        <v>10</v>
      </c>
      <c r="E10" s="47">
        <v>3</v>
      </c>
      <c r="F10" s="48">
        <v>30</v>
      </c>
      <c r="G10" s="51">
        <v>0.65</v>
      </c>
      <c r="H10" s="48">
        <v>150000</v>
      </c>
      <c r="I10" s="15">
        <f>E10*F10*G10*H10/10^3</f>
        <v>8775</v>
      </c>
    </row>
    <row r="11" spans="2:9" ht="13.5" customHeight="1" x14ac:dyDescent="0.2">
      <c r="D11" s="7" t="s">
        <v>11</v>
      </c>
      <c r="E11" s="8">
        <f>SUM(E8:E10)</f>
        <v>63</v>
      </c>
      <c r="F11" s="8"/>
      <c r="G11" s="9"/>
      <c r="H11" s="9"/>
      <c r="I11" s="8">
        <f>SUM(I8:I10)</f>
        <v>80127</v>
      </c>
    </row>
    <row r="12" spans="2:9" ht="13.5" customHeight="1" x14ac:dyDescent="0.2">
      <c r="D12" s="7"/>
      <c r="E12" s="8"/>
      <c r="F12" s="8"/>
      <c r="G12" s="9"/>
      <c r="H12" s="9"/>
      <c r="I12" s="8"/>
    </row>
    <row r="13" spans="2:9" x14ac:dyDescent="0.2">
      <c r="D13" s="3" t="s">
        <v>12</v>
      </c>
    </row>
    <row r="14" spans="2:9" x14ac:dyDescent="0.2">
      <c r="D14" s="3" t="s">
        <v>13</v>
      </c>
    </row>
    <row r="15" spans="2:9" x14ac:dyDescent="0.2">
      <c r="D15" s="3" t="s">
        <v>14</v>
      </c>
    </row>
    <row r="16" spans="2:9" x14ac:dyDescent="0.2">
      <c r="D16" s="3" t="s">
        <v>15</v>
      </c>
    </row>
    <row r="20" spans="3:9" ht="13.5" customHeight="1" x14ac:dyDescent="0.2">
      <c r="C20" s="2"/>
      <c r="D20" s="16" t="s">
        <v>16</v>
      </c>
      <c r="E20" s="17"/>
      <c r="F20" s="17"/>
      <c r="G20" s="17"/>
      <c r="H20" s="17"/>
      <c r="I20" s="17"/>
    </row>
    <row r="21" spans="3:9" ht="13.5" customHeight="1" x14ac:dyDescent="0.2">
      <c r="D21" s="18" t="s">
        <v>2</v>
      </c>
      <c r="E21" s="18" t="s">
        <v>17</v>
      </c>
      <c r="F21" s="18" t="s">
        <v>18</v>
      </c>
      <c r="G21" s="18" t="s">
        <v>19</v>
      </c>
      <c r="H21" s="18" t="s">
        <v>20</v>
      </c>
      <c r="I21" s="18" t="s">
        <v>21</v>
      </c>
    </row>
    <row r="22" spans="3:9" ht="13.5" customHeight="1" x14ac:dyDescent="0.2">
      <c r="D22" s="18" t="s">
        <v>8</v>
      </c>
      <c r="E22" s="19">
        <v>30</v>
      </c>
      <c r="F22" s="19">
        <v>30</v>
      </c>
      <c r="G22" s="20">
        <v>0.68</v>
      </c>
      <c r="H22" s="19" t="s">
        <v>22</v>
      </c>
      <c r="I22" s="21" t="e">
        <f>E22*F22*G22*H22/10^3</f>
        <v>#VALUE!</v>
      </c>
    </row>
    <row r="23" spans="3:9" ht="13.5" customHeight="1" x14ac:dyDescent="0.2">
      <c r="D23" s="18" t="s">
        <v>9</v>
      </c>
      <c r="E23" s="19">
        <v>30</v>
      </c>
      <c r="F23" s="19">
        <v>30</v>
      </c>
      <c r="G23" s="20">
        <v>0.72</v>
      </c>
      <c r="H23" s="23">
        <v>61000</v>
      </c>
      <c r="I23" s="22">
        <f>E23*F23*G23*H23/10^3</f>
        <v>39528</v>
      </c>
    </row>
    <row r="24" spans="3:9" ht="13.5" customHeight="1" x14ac:dyDescent="0.2">
      <c r="D24" s="18" t="s">
        <v>10</v>
      </c>
      <c r="E24" s="19">
        <v>3</v>
      </c>
      <c r="F24" s="19">
        <v>30</v>
      </c>
      <c r="G24" s="20">
        <v>0.65</v>
      </c>
      <c r="H24" s="23">
        <v>150000</v>
      </c>
      <c r="I24" s="19">
        <f>E24*F24*G24*H24/10^3</f>
        <v>8775</v>
      </c>
    </row>
    <row r="25" spans="3:9" ht="13.5" customHeight="1" x14ac:dyDescent="0.2">
      <c r="D25" s="167" t="s">
        <v>11</v>
      </c>
      <c r="E25" s="168"/>
      <c r="F25" s="168"/>
      <c r="G25" s="168"/>
      <c r="H25" s="169"/>
      <c r="I25" s="42" t="e">
        <f>SUM(I22:I24)</f>
        <v>#VALUE!</v>
      </c>
    </row>
    <row r="26" spans="3:9" x14ac:dyDescent="0.2">
      <c r="D26" s="3" t="s">
        <v>23</v>
      </c>
    </row>
    <row r="27" spans="3:9" x14ac:dyDescent="0.2">
      <c r="D27" s="3" t="s">
        <v>24</v>
      </c>
    </row>
    <row r="28" spans="3:9" x14ac:dyDescent="0.2">
      <c r="D28" s="3" t="s">
        <v>25</v>
      </c>
    </row>
    <row r="29" spans="3:9" x14ac:dyDescent="0.2">
      <c r="D29" s="3" t="s">
        <v>26</v>
      </c>
    </row>
    <row r="30" spans="3:9" x14ac:dyDescent="0.2">
      <c r="D30" s="3" t="s">
        <v>27</v>
      </c>
    </row>
    <row r="31" spans="3:9" x14ac:dyDescent="0.2">
      <c r="D31" s="3" t="s">
        <v>28</v>
      </c>
    </row>
  </sheetData>
  <mergeCells count="1">
    <mergeCell ref="D25:H25"/>
  </mergeCells>
  <phoneticPr fontId="1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7"/>
  <sheetViews>
    <sheetView showGridLines="0" workbookViewId="0"/>
  </sheetViews>
  <sheetFormatPr defaultRowHeight="13" x14ac:dyDescent="0.2"/>
  <cols>
    <col min="1" max="3" width="2.36328125" customWidth="1"/>
    <col min="4" max="4" width="26" customWidth="1"/>
    <col min="5" max="9" width="14.08984375" customWidth="1"/>
    <col min="10" max="10" width="12" customWidth="1"/>
    <col min="11" max="11" width="28" customWidth="1"/>
  </cols>
  <sheetData>
    <row r="2" spans="2:9" ht="19.5" customHeight="1" x14ac:dyDescent="0.2">
      <c r="B2" s="1" t="s">
        <v>29</v>
      </c>
      <c r="C2" s="1"/>
    </row>
    <row r="5" spans="2:9" ht="13.5" customHeight="1" x14ac:dyDescent="0.2">
      <c r="D5" s="16" t="s">
        <v>30</v>
      </c>
      <c r="E5" s="16"/>
      <c r="F5" s="16"/>
      <c r="G5" s="16"/>
      <c r="H5" s="16"/>
      <c r="I5" s="16"/>
    </row>
    <row r="7" spans="2:9" ht="13.5" customHeight="1" x14ac:dyDescent="0.2">
      <c r="D7" s="6" t="s">
        <v>31</v>
      </c>
      <c r="E7" s="33" t="s">
        <v>32</v>
      </c>
      <c r="F7" s="33"/>
      <c r="G7" s="33" t="s">
        <v>33</v>
      </c>
      <c r="H7" s="33"/>
      <c r="I7" s="33"/>
    </row>
    <row r="8" spans="2:9" ht="13.5" customHeight="1" x14ac:dyDescent="0.2">
      <c r="D8" s="10" t="s">
        <v>34</v>
      </c>
      <c r="E8" s="27" t="s">
        <v>35</v>
      </c>
      <c r="F8" s="30"/>
      <c r="G8" s="27" t="s">
        <v>36</v>
      </c>
      <c r="H8" s="10"/>
      <c r="I8" s="10"/>
    </row>
    <row r="9" spans="2:9" ht="13.5" customHeight="1" x14ac:dyDescent="0.2">
      <c r="D9" s="11" t="s">
        <v>37</v>
      </c>
      <c r="E9" s="28" t="s">
        <v>38</v>
      </c>
      <c r="F9" s="31"/>
      <c r="G9" s="28" t="s">
        <v>39</v>
      </c>
      <c r="H9" s="11"/>
      <c r="I9" s="11"/>
    </row>
    <row r="10" spans="2:9" ht="13.5" customHeight="1" x14ac:dyDescent="0.2">
      <c r="D10" s="11" t="s">
        <v>40</v>
      </c>
      <c r="E10" s="28" t="s">
        <v>41</v>
      </c>
      <c r="F10" s="31"/>
      <c r="G10" s="28" t="s">
        <v>42</v>
      </c>
      <c r="H10" s="11"/>
      <c r="I10" s="11"/>
    </row>
    <row r="11" spans="2:9" ht="13.5" customHeight="1" x14ac:dyDescent="0.2">
      <c r="D11" s="12" t="s">
        <v>43</v>
      </c>
      <c r="E11" s="29" t="s">
        <v>44</v>
      </c>
      <c r="F11" s="32"/>
      <c r="G11" s="29" t="s">
        <v>45</v>
      </c>
      <c r="H11" s="12"/>
      <c r="I11" s="12"/>
    </row>
    <row r="13" spans="2:9" x14ac:dyDescent="0.2">
      <c r="D13" s="3" t="s">
        <v>46</v>
      </c>
    </row>
    <row r="14" spans="2:9" ht="13.5" customHeight="1" x14ac:dyDescent="0.2">
      <c r="D14" s="6" t="s">
        <v>47</v>
      </c>
      <c r="E14" s="41" t="s">
        <v>48</v>
      </c>
      <c r="F14" s="34"/>
      <c r="G14" s="34"/>
      <c r="H14" s="34"/>
      <c r="I14" s="34"/>
    </row>
    <row r="15" spans="2:9" ht="13.5" customHeight="1" x14ac:dyDescent="0.2">
      <c r="D15" s="35" t="s">
        <v>49</v>
      </c>
      <c r="E15" s="36">
        <v>7072000</v>
      </c>
    </row>
    <row r="16" spans="2:9" ht="13.5" customHeight="1" x14ac:dyDescent="0.2">
      <c r="D16" s="37" t="s">
        <v>50</v>
      </c>
      <c r="E16" s="38">
        <v>8130000</v>
      </c>
    </row>
    <row r="17" spans="3:9" ht="13.5" customHeight="1" x14ac:dyDescent="0.2">
      <c r="D17" s="37" t="s">
        <v>51</v>
      </c>
      <c r="E17" s="38">
        <v>6540000</v>
      </c>
    </row>
    <row r="18" spans="3:9" ht="13.5" customHeight="1" x14ac:dyDescent="0.2">
      <c r="D18" s="39" t="s">
        <v>52</v>
      </c>
      <c r="E18" s="40">
        <v>5980000</v>
      </c>
    </row>
    <row r="19" spans="3:9" ht="13.5" customHeight="1" x14ac:dyDescent="0.2">
      <c r="D19" s="24" t="s">
        <v>11</v>
      </c>
      <c r="E19" s="25">
        <f>SUM(E15:E18)</f>
        <v>27722000</v>
      </c>
    </row>
    <row r="23" spans="3:9" ht="13.5" customHeight="1" x14ac:dyDescent="0.2">
      <c r="C23" s="2"/>
      <c r="D23" s="16" t="s">
        <v>53</v>
      </c>
      <c r="E23" s="16"/>
      <c r="F23" s="16"/>
      <c r="G23" s="16"/>
      <c r="H23" s="16"/>
      <c r="I23" s="16"/>
    </row>
    <row r="25" spans="3:9" x14ac:dyDescent="0.2">
      <c r="D25" s="3" t="s">
        <v>54</v>
      </c>
    </row>
    <row r="26" spans="3:9" ht="13.5" customHeight="1" x14ac:dyDescent="0.2">
      <c r="D26" s="6" t="s">
        <v>55</v>
      </c>
      <c r="E26" s="6" t="s">
        <v>56</v>
      </c>
      <c r="F26" s="6" t="s">
        <v>57</v>
      </c>
      <c r="G26" s="6" t="s">
        <v>58</v>
      </c>
    </row>
    <row r="27" spans="3:9" ht="13.5" customHeight="1" x14ac:dyDescent="0.2">
      <c r="D27" s="10" t="s">
        <v>59</v>
      </c>
      <c r="E27" s="43">
        <v>12000</v>
      </c>
      <c r="F27" s="44">
        <v>30</v>
      </c>
      <c r="G27" s="13">
        <f>E27*F27</f>
        <v>360000</v>
      </c>
    </row>
    <row r="28" spans="3:9" ht="13.5" customHeight="1" x14ac:dyDescent="0.2">
      <c r="D28" s="11" t="s">
        <v>60</v>
      </c>
      <c r="E28" s="45">
        <v>18000</v>
      </c>
      <c r="F28" s="46">
        <v>22</v>
      </c>
      <c r="G28" s="38">
        <f t="shared" ref="G28:G29" si="0">E28*F28</f>
        <v>396000</v>
      </c>
    </row>
    <row r="29" spans="3:9" ht="13.5" customHeight="1" x14ac:dyDescent="0.2">
      <c r="D29" s="12" t="s">
        <v>61</v>
      </c>
      <c r="E29" s="47">
        <v>52000</v>
      </c>
      <c r="F29" s="48">
        <v>8</v>
      </c>
      <c r="G29" s="40">
        <f t="shared" si="0"/>
        <v>416000</v>
      </c>
    </row>
    <row r="30" spans="3:9" ht="13.5" customHeight="1" x14ac:dyDescent="0.2">
      <c r="D30" s="7"/>
      <c r="E30" s="7"/>
      <c r="F30" s="7"/>
      <c r="G30" s="7"/>
    </row>
    <row r="31" spans="3:9" x14ac:dyDescent="0.2">
      <c r="D31" s="3" t="s">
        <v>236</v>
      </c>
    </row>
    <row r="32" spans="3:9" x14ac:dyDescent="0.2">
      <c r="D32" s="3" t="s">
        <v>237</v>
      </c>
    </row>
    <row r="35" spans="4:9" ht="13.5" customHeight="1" x14ac:dyDescent="0.2">
      <c r="D35" s="16" t="s">
        <v>62</v>
      </c>
      <c r="E35" s="16"/>
      <c r="F35" s="16"/>
      <c r="G35" s="16"/>
      <c r="H35" s="16"/>
      <c r="I35" s="16"/>
    </row>
    <row r="36" spans="4:9" x14ac:dyDescent="0.2">
      <c r="E36" s="4"/>
    </row>
    <row r="37" spans="4:9" x14ac:dyDescent="0.2">
      <c r="D37" s="3" t="s">
        <v>235</v>
      </c>
      <c r="E37" s="4"/>
    </row>
    <row r="38" spans="4:9" ht="13.5" customHeight="1" x14ac:dyDescent="0.2">
      <c r="D38" s="26" t="s">
        <v>63</v>
      </c>
      <c r="E38" s="55">
        <v>10000</v>
      </c>
      <c r="F38" s="55">
        <v>20000</v>
      </c>
      <c r="G38" s="55">
        <v>30000</v>
      </c>
      <c r="H38" s="55">
        <v>50000</v>
      </c>
    </row>
    <row r="39" spans="4:9" ht="13.5" customHeight="1" x14ac:dyDescent="0.2">
      <c r="D39" s="44">
        <v>1</v>
      </c>
      <c r="E39" s="13">
        <f t="shared" ref="E39:H43" si="1">$D39*E$38</f>
        <v>10000</v>
      </c>
      <c r="F39" s="52">
        <f t="shared" si="1"/>
        <v>20000</v>
      </c>
      <c r="G39" s="52">
        <f t="shared" si="1"/>
        <v>30000</v>
      </c>
      <c r="H39" s="52">
        <f t="shared" si="1"/>
        <v>50000</v>
      </c>
    </row>
    <row r="40" spans="4:9" ht="13.5" customHeight="1" x14ac:dyDescent="0.2">
      <c r="D40" s="46">
        <v>2</v>
      </c>
      <c r="E40" s="38">
        <f t="shared" si="1"/>
        <v>20000</v>
      </c>
      <c r="F40" s="53">
        <f t="shared" si="1"/>
        <v>40000</v>
      </c>
      <c r="G40" s="53">
        <f t="shared" si="1"/>
        <v>60000</v>
      </c>
      <c r="H40" s="53">
        <f t="shared" si="1"/>
        <v>100000</v>
      </c>
    </row>
    <row r="41" spans="4:9" ht="13.5" customHeight="1" x14ac:dyDescent="0.2">
      <c r="D41" s="46">
        <v>3</v>
      </c>
      <c r="E41" s="38">
        <f t="shared" si="1"/>
        <v>30000</v>
      </c>
      <c r="F41" s="53">
        <f t="shared" si="1"/>
        <v>60000</v>
      </c>
      <c r="G41" s="53">
        <f t="shared" si="1"/>
        <v>90000</v>
      </c>
      <c r="H41" s="53">
        <f t="shared" si="1"/>
        <v>150000</v>
      </c>
    </row>
    <row r="42" spans="4:9" ht="13.5" customHeight="1" x14ac:dyDescent="0.2">
      <c r="D42" s="46">
        <v>5</v>
      </c>
      <c r="E42" s="38">
        <f t="shared" si="1"/>
        <v>50000</v>
      </c>
      <c r="F42" s="53">
        <f t="shared" si="1"/>
        <v>100000</v>
      </c>
      <c r="G42" s="53">
        <f t="shared" si="1"/>
        <v>150000</v>
      </c>
      <c r="H42" s="53">
        <f t="shared" si="1"/>
        <v>250000</v>
      </c>
    </row>
    <row r="43" spans="4:9" ht="13.5" customHeight="1" x14ac:dyDescent="0.2">
      <c r="D43" s="48">
        <v>10</v>
      </c>
      <c r="E43" s="40">
        <f t="shared" si="1"/>
        <v>100000</v>
      </c>
      <c r="F43" s="54">
        <f t="shared" si="1"/>
        <v>200000</v>
      </c>
      <c r="G43" s="54">
        <f t="shared" si="1"/>
        <v>300000</v>
      </c>
      <c r="H43" s="54">
        <f t="shared" si="1"/>
        <v>500000</v>
      </c>
    </row>
    <row r="45" spans="4:9" x14ac:dyDescent="0.2">
      <c r="D45" s="3" t="s">
        <v>236</v>
      </c>
    </row>
    <row r="46" spans="4:9" x14ac:dyDescent="0.2">
      <c r="D46" s="3" t="s">
        <v>238</v>
      </c>
    </row>
    <row r="47" spans="4:9" x14ac:dyDescent="0.2">
      <c r="D47" s="3" t="s">
        <v>239</v>
      </c>
    </row>
  </sheetData>
  <phoneticPr fontId="11"/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47"/>
  <sheetViews>
    <sheetView showGridLines="0" tabSelected="1" workbookViewId="0"/>
  </sheetViews>
  <sheetFormatPr defaultRowHeight="13" x14ac:dyDescent="0.2"/>
  <cols>
    <col min="1" max="3" width="2.36328125" customWidth="1"/>
    <col min="4" max="4" width="10" customWidth="1"/>
    <col min="5" max="10" width="12.26953125" customWidth="1"/>
  </cols>
  <sheetData>
    <row r="2" spans="2:10" ht="19.5" customHeight="1" x14ac:dyDescent="0.2">
      <c r="B2" s="1" t="s">
        <v>64</v>
      </c>
      <c r="C2" s="1"/>
    </row>
    <row r="3" spans="2:10" x14ac:dyDescent="0.2">
      <c r="B3" s="5"/>
      <c r="C3" s="5"/>
    </row>
    <row r="4" spans="2:10" x14ac:dyDescent="0.2">
      <c r="B4" s="5"/>
      <c r="C4" s="5"/>
    </row>
    <row r="5" spans="2:10" ht="13.5" customHeight="1" x14ac:dyDescent="0.2">
      <c r="C5" s="2"/>
      <c r="D5" s="16" t="s">
        <v>65</v>
      </c>
      <c r="E5" s="17"/>
      <c r="F5" s="17"/>
      <c r="G5" s="17"/>
      <c r="H5" s="17"/>
      <c r="I5" s="17"/>
      <c r="J5" s="17"/>
    </row>
    <row r="6" spans="2:10" ht="13.5" customHeight="1" x14ac:dyDescent="0.2">
      <c r="C6" s="2"/>
      <c r="D6" s="2"/>
    </row>
    <row r="7" spans="2:10" ht="13.5" customHeight="1" x14ac:dyDescent="0.2">
      <c r="D7" s="171" t="s">
        <v>66</v>
      </c>
      <c r="E7" s="171" t="s">
        <v>2</v>
      </c>
      <c r="F7" s="171" t="s">
        <v>47</v>
      </c>
      <c r="G7" s="171" t="s">
        <v>67</v>
      </c>
      <c r="H7" s="171" t="s">
        <v>68</v>
      </c>
      <c r="I7" s="171" t="s">
        <v>69</v>
      </c>
      <c r="J7" s="171" t="s">
        <v>48</v>
      </c>
    </row>
    <row r="8" spans="2:10" ht="13.5" customHeight="1" x14ac:dyDescent="0.2">
      <c r="D8" s="172" t="s">
        <v>70</v>
      </c>
      <c r="E8" s="172" t="s">
        <v>8</v>
      </c>
      <c r="F8" s="189">
        <v>7</v>
      </c>
      <c r="G8" s="172" t="s">
        <v>61</v>
      </c>
      <c r="H8" s="173">
        <v>2</v>
      </c>
      <c r="I8" s="173">
        <v>4</v>
      </c>
      <c r="J8" s="173">
        <v>160000</v>
      </c>
    </row>
    <row r="9" spans="2:10" ht="13.5" customHeight="1" x14ac:dyDescent="0.2">
      <c r="D9" s="172" t="s">
        <v>71</v>
      </c>
      <c r="E9" s="172" t="s">
        <v>8</v>
      </c>
      <c r="F9" s="189">
        <v>7</v>
      </c>
      <c r="G9" s="172" t="s">
        <v>72</v>
      </c>
      <c r="H9" s="173">
        <v>3</v>
      </c>
      <c r="I9" s="173">
        <v>4</v>
      </c>
      <c r="J9" s="173">
        <v>108000</v>
      </c>
    </row>
    <row r="10" spans="2:10" ht="13.5" customHeight="1" x14ac:dyDescent="0.2">
      <c r="D10" s="172" t="s">
        <v>73</v>
      </c>
      <c r="E10" s="172" t="s">
        <v>9</v>
      </c>
      <c r="F10" s="189">
        <v>7</v>
      </c>
      <c r="G10" s="172" t="s">
        <v>72</v>
      </c>
      <c r="H10" s="173">
        <v>2</v>
      </c>
      <c r="I10" s="173">
        <v>3</v>
      </c>
      <c r="J10" s="173">
        <v>72000</v>
      </c>
    </row>
    <row r="11" spans="2:10" ht="13.5" customHeight="1" x14ac:dyDescent="0.2">
      <c r="D11" s="172" t="s">
        <v>74</v>
      </c>
      <c r="E11" s="172" t="s">
        <v>8</v>
      </c>
      <c r="F11" s="189">
        <v>8</v>
      </c>
      <c r="G11" s="172" t="s">
        <v>61</v>
      </c>
      <c r="H11" s="173">
        <v>2</v>
      </c>
      <c r="I11" s="173">
        <v>2</v>
      </c>
      <c r="J11" s="173">
        <v>180000</v>
      </c>
    </row>
    <row r="12" spans="2:10" ht="13.5" customHeight="1" x14ac:dyDescent="0.2">
      <c r="D12" s="172" t="s">
        <v>75</v>
      </c>
      <c r="E12" s="172" t="s">
        <v>9</v>
      </c>
      <c r="F12" s="189">
        <v>8</v>
      </c>
      <c r="G12" s="172" t="s">
        <v>61</v>
      </c>
      <c r="H12" s="173">
        <v>1</v>
      </c>
      <c r="I12" s="173">
        <v>2</v>
      </c>
      <c r="J12" s="173">
        <v>95000</v>
      </c>
    </row>
    <row r="13" spans="2:10" ht="13.5" customHeight="1" x14ac:dyDescent="0.2">
      <c r="D13" s="172" t="s">
        <v>76</v>
      </c>
      <c r="E13" s="172" t="s">
        <v>8</v>
      </c>
      <c r="F13" s="189">
        <v>7</v>
      </c>
      <c r="G13" s="172" t="s">
        <v>72</v>
      </c>
      <c r="H13" s="173">
        <v>1</v>
      </c>
      <c r="I13" s="173">
        <v>2</v>
      </c>
      <c r="J13" s="173">
        <v>36000</v>
      </c>
    </row>
    <row r="14" spans="2:10" ht="13.5" customHeight="1" x14ac:dyDescent="0.2">
      <c r="D14" s="172" t="s">
        <v>77</v>
      </c>
      <c r="E14" s="172" t="s">
        <v>9</v>
      </c>
      <c r="F14" s="189">
        <v>8</v>
      </c>
      <c r="G14" s="172" t="s">
        <v>72</v>
      </c>
      <c r="H14" s="173">
        <v>4</v>
      </c>
      <c r="I14" s="173">
        <v>6</v>
      </c>
      <c r="J14" s="173">
        <v>152000</v>
      </c>
    </row>
    <row r="15" spans="2:10" ht="13.5" customHeight="1" x14ac:dyDescent="0.2">
      <c r="D15" s="172" t="s">
        <v>78</v>
      </c>
      <c r="E15" s="172" t="s">
        <v>8</v>
      </c>
      <c r="F15" s="189">
        <v>8</v>
      </c>
      <c r="G15" s="172" t="s">
        <v>72</v>
      </c>
      <c r="H15" s="173">
        <v>2</v>
      </c>
      <c r="I15" s="173">
        <v>3</v>
      </c>
      <c r="J15" s="173">
        <v>74000</v>
      </c>
    </row>
    <row r="16" spans="2:10" ht="13.5" customHeight="1" x14ac:dyDescent="0.2">
      <c r="D16" s="172" t="s">
        <v>79</v>
      </c>
      <c r="E16" s="172" t="s">
        <v>9</v>
      </c>
      <c r="F16" s="189">
        <v>7</v>
      </c>
      <c r="G16" s="172" t="s">
        <v>61</v>
      </c>
      <c r="H16" s="173">
        <v>1</v>
      </c>
      <c r="I16" s="173">
        <v>2</v>
      </c>
      <c r="J16" s="173">
        <v>92000</v>
      </c>
    </row>
    <row r="17" spans="3:10" ht="13.5" customHeight="1" x14ac:dyDescent="0.2">
      <c r="D17" s="172" t="s">
        <v>80</v>
      </c>
      <c r="E17" s="172" t="s">
        <v>8</v>
      </c>
      <c r="F17" s="189">
        <v>8</v>
      </c>
      <c r="G17" s="172" t="s">
        <v>61</v>
      </c>
      <c r="H17" s="173">
        <v>3</v>
      </c>
      <c r="I17" s="173">
        <v>5</v>
      </c>
      <c r="J17" s="173">
        <v>270000</v>
      </c>
    </row>
    <row r="21" spans="3:10" ht="13.5" customHeight="1" x14ac:dyDescent="0.2">
      <c r="C21" s="2"/>
      <c r="D21" s="16" t="s">
        <v>81</v>
      </c>
      <c r="E21" s="17"/>
      <c r="F21" s="17"/>
      <c r="G21" s="17"/>
      <c r="H21" s="17"/>
      <c r="I21" s="17"/>
      <c r="J21" s="17"/>
    </row>
    <row r="22" spans="3:10" ht="13.5" customHeight="1" x14ac:dyDescent="0.2">
      <c r="C22" s="2"/>
      <c r="D22" s="2"/>
    </row>
    <row r="23" spans="3:10" ht="13.5" customHeight="1" x14ac:dyDescent="0.2">
      <c r="D23" s="6" t="s">
        <v>82</v>
      </c>
      <c r="E23" s="6">
        <v>7</v>
      </c>
      <c r="F23" s="6">
        <v>8</v>
      </c>
      <c r="G23" s="6" t="s">
        <v>11</v>
      </c>
    </row>
    <row r="24" spans="3:10" ht="13.5" customHeight="1" x14ac:dyDescent="0.2">
      <c r="D24" s="57" t="s">
        <v>8</v>
      </c>
      <c r="E24" s="61">
        <f>SUMIFS($J$8:$J$17,$E$8:$E$17,$D24,$F$8:$F$17,E$23)</f>
        <v>304000</v>
      </c>
      <c r="F24" s="59">
        <f>SUMIFS($J$8:$J$17,$E$8:$E$17,$D24,$F$8:$F$17,F$23)</f>
        <v>524000</v>
      </c>
      <c r="G24" s="61">
        <f>SUM(E24:F24)</f>
        <v>828000</v>
      </c>
    </row>
    <row r="25" spans="3:10" ht="13.5" customHeight="1" x14ac:dyDescent="0.2">
      <c r="D25" s="58" t="s">
        <v>9</v>
      </c>
      <c r="E25" s="62">
        <f>SUMIFS($J$8:$J$17,$E$8:$E$17,$D25,$F$8:$F$17,E$23)</f>
        <v>164000</v>
      </c>
      <c r="F25" s="60">
        <f>SUMIFS($J$8:$J$17,$E$8:$E$17,$D25,$F$8:$F$17,F$23)</f>
        <v>247000</v>
      </c>
      <c r="G25" s="62">
        <f>SUM(E25:F25)</f>
        <v>411000</v>
      </c>
    </row>
    <row r="26" spans="3:10" ht="13.5" customHeight="1" x14ac:dyDescent="0.2">
      <c r="D26" s="56" t="s">
        <v>11</v>
      </c>
      <c r="E26" s="63">
        <f>SUM(E24:E25)</f>
        <v>468000</v>
      </c>
      <c r="F26" s="63">
        <f>SUM(F24:F25)</f>
        <v>771000</v>
      </c>
      <c r="G26" s="63">
        <f>SUM(G24:G25)</f>
        <v>1239000</v>
      </c>
    </row>
    <row r="27" spans="3:10" x14ac:dyDescent="0.2">
      <c r="D27" s="3" t="s">
        <v>83</v>
      </c>
    </row>
    <row r="32" spans="3:10" ht="13.5" customHeight="1" x14ac:dyDescent="0.2">
      <c r="D32" s="16" t="s">
        <v>84</v>
      </c>
      <c r="E32" s="17"/>
      <c r="F32" s="17"/>
      <c r="G32" s="17"/>
      <c r="H32" s="17"/>
      <c r="I32" s="17"/>
      <c r="J32" s="17"/>
    </row>
    <row r="33" spans="4:7" ht="13.5" customHeight="1" x14ac:dyDescent="0.2">
      <c r="D33" s="2"/>
    </row>
    <row r="34" spans="4:7" ht="13.5" customHeight="1" x14ac:dyDescent="0.2">
      <c r="D34" s="6" t="s">
        <v>67</v>
      </c>
      <c r="E34" s="6" t="s">
        <v>85</v>
      </c>
      <c r="F34" s="6" t="s">
        <v>86</v>
      </c>
      <c r="G34" s="6" t="s">
        <v>6</v>
      </c>
    </row>
    <row r="35" spans="4:7" ht="13.5" customHeight="1" x14ac:dyDescent="0.2">
      <c r="D35" s="57" t="s">
        <v>61</v>
      </c>
      <c r="E35" s="61">
        <f>SUMIFS($J$8:$J$17,$G$8:$G$17,D35)</f>
        <v>797000</v>
      </c>
      <c r="F35" s="59">
        <f>SUMIFS($H$8:$H$17,$G$8:$G$17,D35)</f>
        <v>9</v>
      </c>
      <c r="G35" s="61">
        <f>E35/F35</f>
        <v>88555.555555555562</v>
      </c>
    </row>
    <row r="36" spans="4:7" ht="13.5" customHeight="1" x14ac:dyDescent="0.2">
      <c r="D36" s="58" t="s">
        <v>72</v>
      </c>
      <c r="E36" s="62">
        <f>SUMIFS($J$8:$J$17,$G$8:$G$17,D36)</f>
        <v>442000</v>
      </c>
      <c r="F36" s="60">
        <f>SUMIFS($H$8:$H$17,$G$8:$G$17,D36)</f>
        <v>12</v>
      </c>
      <c r="G36" s="62">
        <f>E36/F36</f>
        <v>36833.333333333336</v>
      </c>
    </row>
    <row r="37" spans="4:7" ht="13.5" customHeight="1" x14ac:dyDescent="0.2">
      <c r="D37" s="56"/>
      <c r="E37" s="63"/>
      <c r="F37" s="63"/>
      <c r="G37" s="63"/>
    </row>
    <row r="38" spans="4:7" x14ac:dyDescent="0.2">
      <c r="D38" s="3" t="s">
        <v>87</v>
      </c>
    </row>
    <row r="47" spans="4:7" ht="13.5" x14ac:dyDescent="0.2">
      <c r="D47" s="56"/>
      <c r="E47" s="63"/>
      <c r="F47" s="63"/>
      <c r="G47" s="63"/>
    </row>
  </sheetData>
  <phoneticPr fontId="1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6506F-00A7-41A7-9E89-2C33DCC4D02B}">
  <dimension ref="B2:K31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10" width="12.26953125" customWidth="1"/>
    <col min="11" max="11" width="9.453125" bestFit="1" customWidth="1"/>
  </cols>
  <sheetData>
    <row r="2" spans="2:11" ht="19.5" customHeight="1" x14ac:dyDescent="0.2">
      <c r="B2" s="1" t="s">
        <v>261</v>
      </c>
      <c r="C2" s="1"/>
    </row>
    <row r="3" spans="2:11" x14ac:dyDescent="0.2">
      <c r="B3" s="5"/>
      <c r="C3" s="5"/>
    </row>
    <row r="4" spans="2:11" x14ac:dyDescent="0.2">
      <c r="B4" s="5"/>
      <c r="C4" s="5"/>
    </row>
    <row r="5" spans="2:11" ht="13.5" customHeight="1" x14ac:dyDescent="0.2">
      <c r="C5" s="2"/>
      <c r="D5" s="16" t="s">
        <v>65</v>
      </c>
      <c r="E5" s="17"/>
      <c r="F5" s="17"/>
      <c r="G5" s="17"/>
      <c r="H5" s="17"/>
      <c r="I5" s="17"/>
      <c r="J5" s="17"/>
      <c r="K5" s="17"/>
    </row>
    <row r="6" spans="2:11" ht="13.5" customHeight="1" x14ac:dyDescent="0.2">
      <c r="C6" s="2"/>
      <c r="D6" s="2"/>
    </row>
    <row r="7" spans="2:11" ht="13.5" customHeight="1" x14ac:dyDescent="0.2">
      <c r="D7" s="171" t="s">
        <v>262</v>
      </c>
      <c r="E7" s="171" t="s">
        <v>263</v>
      </c>
      <c r="F7" s="171" t="s">
        <v>265</v>
      </c>
      <c r="G7" s="171" t="s">
        <v>266</v>
      </c>
    </row>
    <row r="8" spans="2:11" ht="13.5" customHeight="1" x14ac:dyDescent="0.2">
      <c r="D8" s="172">
        <v>2</v>
      </c>
      <c r="E8" s="172" t="s">
        <v>267</v>
      </c>
      <c r="F8" s="172">
        <v>4</v>
      </c>
      <c r="G8" s="173">
        <v>32000</v>
      </c>
    </row>
    <row r="9" spans="2:11" ht="13.5" customHeight="1" x14ac:dyDescent="0.2">
      <c r="D9" s="172">
        <v>3</v>
      </c>
      <c r="E9" s="172" t="s">
        <v>268</v>
      </c>
      <c r="F9" s="172">
        <v>6</v>
      </c>
      <c r="G9" s="173">
        <v>27000</v>
      </c>
    </row>
    <row r="10" spans="2:11" ht="13.5" customHeight="1" x14ac:dyDescent="0.2">
      <c r="D10" s="172">
        <v>4</v>
      </c>
      <c r="E10" s="172" t="s">
        <v>269</v>
      </c>
      <c r="F10" s="172">
        <v>5</v>
      </c>
      <c r="G10" s="173">
        <v>19000</v>
      </c>
    </row>
    <row r="11" spans="2:11" ht="13.5" customHeight="1" x14ac:dyDescent="0.2">
      <c r="D11" s="172">
        <v>5</v>
      </c>
      <c r="E11" s="172" t="s">
        <v>270</v>
      </c>
      <c r="F11" s="172">
        <v>2</v>
      </c>
      <c r="G11" s="173">
        <v>12000</v>
      </c>
    </row>
    <row r="15" spans="2:11" ht="13.5" customHeight="1" x14ac:dyDescent="0.2">
      <c r="C15" s="2"/>
      <c r="D15" s="16" t="s">
        <v>271</v>
      </c>
      <c r="E15" s="17"/>
      <c r="F15" s="17"/>
      <c r="G15" s="17"/>
      <c r="H15" s="17"/>
      <c r="I15" s="17"/>
      <c r="J15" s="17"/>
      <c r="K15" s="17"/>
    </row>
    <row r="16" spans="2:11" ht="13.5" customHeight="1" x14ac:dyDescent="0.2">
      <c r="C16" s="2"/>
      <c r="D16" s="2"/>
    </row>
    <row r="17" spans="4:11" ht="13.5" customHeight="1" x14ac:dyDescent="0.2">
      <c r="D17" s="6" t="s">
        <v>272</v>
      </c>
      <c r="E17" s="6" t="s">
        <v>273</v>
      </c>
      <c r="F17" s="6" t="s">
        <v>274</v>
      </c>
    </row>
    <row r="18" spans="4:11" ht="13.5" customHeight="1" x14ac:dyDescent="0.2">
      <c r="D18" s="162" t="s">
        <v>268</v>
      </c>
      <c r="E18" s="190" t="s">
        <v>275</v>
      </c>
      <c r="F18" s="190">
        <v>1800</v>
      </c>
    </row>
    <row r="19" spans="4:11" ht="13.5" customHeight="1" x14ac:dyDescent="0.2">
      <c r="D19" s="162" t="s">
        <v>267</v>
      </c>
      <c r="E19" s="190" t="s">
        <v>276</v>
      </c>
      <c r="F19" s="190">
        <v>3200</v>
      </c>
    </row>
    <row r="20" spans="4:11" ht="13.5" customHeight="1" x14ac:dyDescent="0.2">
      <c r="D20" s="162" t="s">
        <v>269</v>
      </c>
      <c r="E20" s="190" t="s">
        <v>277</v>
      </c>
      <c r="F20" s="190">
        <v>1500</v>
      </c>
    </row>
    <row r="25" spans="4:11" ht="13.5" customHeight="1" x14ac:dyDescent="0.2">
      <c r="D25" s="16" t="s">
        <v>282</v>
      </c>
      <c r="E25" s="17"/>
      <c r="F25" s="17"/>
      <c r="G25" s="17"/>
      <c r="H25" s="17"/>
      <c r="I25" s="17"/>
      <c r="J25" s="17"/>
      <c r="K25" s="17"/>
    </row>
    <row r="26" spans="4:11" ht="13.5" customHeight="1" x14ac:dyDescent="0.2">
      <c r="D26" s="2"/>
    </row>
    <row r="27" spans="4:11" ht="13.5" x14ac:dyDescent="0.2">
      <c r="D27" s="6" t="s">
        <v>262</v>
      </c>
      <c r="E27" s="6" t="s">
        <v>263</v>
      </c>
      <c r="F27" s="6" t="s">
        <v>264</v>
      </c>
      <c r="G27" s="6" t="s">
        <v>265</v>
      </c>
      <c r="H27" s="6" t="s">
        <v>278</v>
      </c>
      <c r="I27" s="6" t="s">
        <v>279</v>
      </c>
      <c r="J27" s="6" t="s">
        <v>280</v>
      </c>
      <c r="K27" s="6" t="s">
        <v>281</v>
      </c>
    </row>
    <row r="28" spans="4:11" ht="13.5" x14ac:dyDescent="0.2">
      <c r="D28" s="101">
        <v>2</v>
      </c>
      <c r="E28" s="175" t="s">
        <v>267</v>
      </c>
      <c r="F28" s="175" t="str">
        <f t="shared" ref="F28:F30" si="0">_xlfn.XLOOKUP($E28,$D$17:$D$20,E$17:E$20,"該当なし")</f>
        <v>鮑ステーキ</v>
      </c>
      <c r="G28" s="174">
        <f>SUMIFS($F$8:$F$11,$E$8:$E$11,E28)</f>
        <v>4</v>
      </c>
      <c r="H28" s="183">
        <f>_xlfn.XLOOKUP($E28,$D$17:$D$20,F$17:F$20,"該当なし")</f>
        <v>3200</v>
      </c>
      <c r="I28" s="186">
        <f t="shared" ref="I28:I30" si="1">IFERROR(G28*H28,"-")</f>
        <v>12800</v>
      </c>
      <c r="J28" s="186">
        <f>SUMIFS($G$8:$G$11,$E$8:$E$11,E28)</f>
        <v>32000</v>
      </c>
      <c r="K28" s="176">
        <f t="shared" ref="K28:K30" si="2">IFERROR(I28/J28,"-")</f>
        <v>0.4</v>
      </c>
    </row>
    <row r="29" spans="4:11" ht="13.5" x14ac:dyDescent="0.2">
      <c r="D29" s="104">
        <v>3</v>
      </c>
      <c r="E29" s="178" t="s">
        <v>268</v>
      </c>
      <c r="F29" s="178" t="str">
        <f t="shared" si="0"/>
        <v>金目鯛煮付</v>
      </c>
      <c r="G29" s="177">
        <f t="shared" ref="G29:G31" si="3">SUMIFS($F$8:$F$11,$E$8:$E$11,E29)</f>
        <v>6</v>
      </c>
      <c r="H29" s="184">
        <f t="shared" ref="H29:H31" si="4">_xlfn.XLOOKUP($E29,$D$17:$D$20,F$17:F$20,"該当なし")</f>
        <v>1800</v>
      </c>
      <c r="I29" s="187">
        <f t="shared" si="1"/>
        <v>10800</v>
      </c>
      <c r="J29" s="187">
        <f t="shared" ref="J29:J31" si="5">SUMIFS($G$8:$G$11,$E$8:$E$11,E29)</f>
        <v>27000</v>
      </c>
      <c r="K29" s="179">
        <f t="shared" si="2"/>
        <v>0.4</v>
      </c>
    </row>
    <row r="30" spans="4:11" ht="13.5" x14ac:dyDescent="0.2">
      <c r="D30" s="104">
        <v>4</v>
      </c>
      <c r="E30" s="178" t="s">
        <v>269</v>
      </c>
      <c r="F30" s="178" t="str">
        <f t="shared" si="0"/>
        <v>地魚刺身盛</v>
      </c>
      <c r="G30" s="177">
        <f t="shared" si="3"/>
        <v>5</v>
      </c>
      <c r="H30" s="184">
        <f t="shared" si="4"/>
        <v>1500</v>
      </c>
      <c r="I30" s="187">
        <f t="shared" si="1"/>
        <v>7500</v>
      </c>
      <c r="J30" s="187">
        <f t="shared" si="5"/>
        <v>19000</v>
      </c>
      <c r="K30" s="179">
        <f t="shared" si="2"/>
        <v>0.39473684210526316</v>
      </c>
    </row>
    <row r="31" spans="4:11" ht="13.5" x14ac:dyDescent="0.2">
      <c r="D31" s="170">
        <v>5</v>
      </c>
      <c r="E31" s="181" t="s">
        <v>270</v>
      </c>
      <c r="F31" s="181" t="str">
        <f>_xlfn.XLOOKUP($E31,$D$17:$D$20,E$17:E$20,"該当なし")</f>
        <v>該当なし</v>
      </c>
      <c r="G31" s="180">
        <f t="shared" si="3"/>
        <v>2</v>
      </c>
      <c r="H31" s="185" t="str">
        <f t="shared" si="4"/>
        <v>該当なし</v>
      </c>
      <c r="I31" s="188" t="str">
        <f>IFERROR(G31*H31,"-")</f>
        <v>-</v>
      </c>
      <c r="J31" s="188">
        <f t="shared" si="5"/>
        <v>12000</v>
      </c>
      <c r="K31" s="182" t="str">
        <f>IFERROR(I31/J31,"-")</f>
        <v>-</v>
      </c>
    </row>
  </sheetData>
  <phoneticPr fontId="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31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5" width="22" customWidth="1"/>
    <col min="6" max="6" width="14" customWidth="1"/>
    <col min="8" max="8" width="24" customWidth="1"/>
    <col min="9" max="9" width="14" customWidth="1"/>
  </cols>
  <sheetData>
    <row r="2" spans="2:9" ht="19.5" customHeight="1" x14ac:dyDescent="0.2">
      <c r="B2" s="64" t="s">
        <v>88</v>
      </c>
    </row>
    <row r="3" spans="2:9" ht="13.5" customHeight="1" x14ac:dyDescent="0.2"/>
    <row r="4" spans="2:9" ht="13.5" customHeight="1" x14ac:dyDescent="0.2">
      <c r="D4" s="3" t="s">
        <v>89</v>
      </c>
    </row>
    <row r="5" spans="2:9" ht="13.5" customHeight="1" x14ac:dyDescent="0.2">
      <c r="D5" s="66" t="s">
        <v>90</v>
      </c>
      <c r="E5" s="67"/>
      <c r="F5" s="67"/>
      <c r="H5" s="97" t="s">
        <v>240</v>
      </c>
      <c r="I5" s="67"/>
    </row>
    <row r="6" spans="2:9" ht="13.5" customHeight="1" x14ac:dyDescent="0.2"/>
    <row r="7" spans="2:9" ht="13.5" customHeight="1" x14ac:dyDescent="0.2">
      <c r="D7" s="68" t="s">
        <v>66</v>
      </c>
      <c r="E7" s="68" t="s">
        <v>91</v>
      </c>
      <c r="F7" s="68" t="s">
        <v>48</v>
      </c>
      <c r="H7" s="68" t="s">
        <v>92</v>
      </c>
    </row>
    <row r="8" spans="2:9" ht="13.5" customHeight="1" x14ac:dyDescent="0.2">
      <c r="D8" s="69" t="s">
        <v>70</v>
      </c>
      <c r="E8" s="69" t="s">
        <v>93</v>
      </c>
      <c r="F8" s="70">
        <v>160000</v>
      </c>
      <c r="H8" s="98" t="s">
        <v>242</v>
      </c>
    </row>
    <row r="9" spans="2:9" ht="13.5" customHeight="1" x14ac:dyDescent="0.2">
      <c r="D9" s="72" t="s">
        <v>71</v>
      </c>
      <c r="E9" s="72" t="s">
        <v>94</v>
      </c>
      <c r="F9" s="73">
        <v>108000</v>
      </c>
      <c r="H9" s="3" t="s">
        <v>243</v>
      </c>
    </row>
    <row r="10" spans="2:9" ht="13.5" customHeight="1" x14ac:dyDescent="0.2">
      <c r="D10" s="72" t="s">
        <v>73</v>
      </c>
      <c r="E10" s="72" t="s">
        <v>95</v>
      </c>
      <c r="F10" s="73">
        <v>72000</v>
      </c>
      <c r="H10" s="3" t="s">
        <v>244</v>
      </c>
    </row>
    <row r="11" spans="2:9" ht="13.5" customHeight="1" x14ac:dyDescent="0.2">
      <c r="D11" s="72" t="s">
        <v>74</v>
      </c>
      <c r="E11" s="72" t="s">
        <v>93</v>
      </c>
      <c r="F11" s="73">
        <v>180000</v>
      </c>
    </row>
    <row r="12" spans="2:9" ht="13.5" customHeight="1" x14ac:dyDescent="0.2">
      <c r="D12" s="72" t="s">
        <v>75</v>
      </c>
      <c r="E12" s="72" t="s">
        <v>96</v>
      </c>
      <c r="F12" s="73">
        <v>95000</v>
      </c>
    </row>
    <row r="13" spans="2:9" ht="13.5" customHeight="1" x14ac:dyDescent="0.2">
      <c r="D13" s="72" t="s">
        <v>76</v>
      </c>
      <c r="E13" s="72" t="s">
        <v>94</v>
      </c>
      <c r="F13" s="73">
        <v>36000</v>
      </c>
    </row>
    <row r="14" spans="2:9" ht="13.5" customHeight="1" x14ac:dyDescent="0.2">
      <c r="D14" s="72" t="s">
        <v>77</v>
      </c>
      <c r="E14" s="72" t="s">
        <v>97</v>
      </c>
      <c r="F14" s="73">
        <v>152000</v>
      </c>
      <c r="H14" s="97" t="s">
        <v>241</v>
      </c>
      <c r="I14" s="67"/>
    </row>
    <row r="15" spans="2:9" ht="13.5" customHeight="1" x14ac:dyDescent="0.2">
      <c r="D15" s="72" t="s">
        <v>78</v>
      </c>
      <c r="E15" s="72" t="s">
        <v>95</v>
      </c>
      <c r="F15" s="73">
        <v>74000</v>
      </c>
    </row>
    <row r="16" spans="2:9" ht="13.5" customHeight="1" x14ac:dyDescent="0.2">
      <c r="D16" s="72" t="s">
        <v>79</v>
      </c>
      <c r="E16" s="72" t="s">
        <v>93</v>
      </c>
      <c r="F16" s="73">
        <v>92000</v>
      </c>
      <c r="H16" s="68" t="s">
        <v>101</v>
      </c>
      <c r="I16" s="68" t="s">
        <v>85</v>
      </c>
    </row>
    <row r="17" spans="4:9" ht="13.5" customHeight="1" x14ac:dyDescent="0.2">
      <c r="D17" s="72" t="s">
        <v>80</v>
      </c>
      <c r="E17" s="72" t="s">
        <v>96</v>
      </c>
      <c r="F17" s="73">
        <v>270000</v>
      </c>
      <c r="H17" s="69" t="str" cm="1">
        <f t="array" ref="H17:H22">_xlfn._xlws.SORT(_xlfn.UNIQUE(E8:E19))</f>
        <v>Booking.com</v>
      </c>
      <c r="I17" s="70" cm="1">
        <f t="array" ref="I17:I22">SUMIFS($F$8:$F$19,$E$8:$E$19,_xlfn.ANCHORARRAY(H17))</f>
        <v>146000</v>
      </c>
    </row>
    <row r="18" spans="4:9" ht="13.5" customHeight="1" x14ac:dyDescent="0.2">
      <c r="D18" s="72" t="s">
        <v>99</v>
      </c>
      <c r="E18" s="72" t="s">
        <v>98</v>
      </c>
      <c r="F18" s="73">
        <v>210000</v>
      </c>
      <c r="H18" s="72" t="str">
        <v>Expedia</v>
      </c>
      <c r="I18" s="73">
        <v>152000</v>
      </c>
    </row>
    <row r="19" spans="4:9" ht="13.5" customHeight="1" x14ac:dyDescent="0.2">
      <c r="D19" s="72" t="s">
        <v>100</v>
      </c>
      <c r="E19" s="72" t="s">
        <v>94</v>
      </c>
      <c r="F19" s="73">
        <v>64000</v>
      </c>
      <c r="H19" s="72" t="str">
        <v>じゃらん</v>
      </c>
      <c r="I19" s="73">
        <v>208000</v>
      </c>
    </row>
    <row r="20" spans="4:9" ht="13.5" customHeight="1" x14ac:dyDescent="0.2">
      <c r="D20" s="72"/>
      <c r="E20" s="99" t="s">
        <v>245</v>
      </c>
      <c r="F20" s="73"/>
      <c r="H20" s="72" t="str">
        <v>一休.com</v>
      </c>
      <c r="I20" s="73">
        <v>210000</v>
      </c>
    </row>
    <row r="21" spans="4:9" ht="13.5" customHeight="1" x14ac:dyDescent="0.2">
      <c r="D21" s="72"/>
      <c r="E21" s="72"/>
      <c r="F21" s="73"/>
      <c r="H21" s="72" t="str">
        <v>楽天トラベル</v>
      </c>
      <c r="I21" s="73">
        <v>432000</v>
      </c>
    </row>
    <row r="22" spans="4:9" ht="13.5" customHeight="1" x14ac:dyDescent="0.2">
      <c r="D22" s="72"/>
      <c r="E22" s="72"/>
      <c r="F22" s="73"/>
      <c r="H22" s="72" t="str">
        <v>公式サイト</v>
      </c>
      <c r="I22" s="73">
        <v>365000</v>
      </c>
    </row>
    <row r="23" spans="4:9" ht="13.5" customHeight="1" x14ac:dyDescent="0.2">
      <c r="D23" s="72"/>
      <c r="E23" s="72"/>
      <c r="F23" s="73"/>
      <c r="H23" s="72"/>
      <c r="I23" s="73"/>
    </row>
    <row r="24" spans="4:9" ht="13.5" customHeight="1" x14ac:dyDescent="0.2">
      <c r="D24" s="72"/>
      <c r="E24" s="72"/>
      <c r="F24" s="73"/>
      <c r="H24" s="72"/>
      <c r="I24" s="73"/>
    </row>
    <row r="25" spans="4:9" ht="13.5" customHeight="1" x14ac:dyDescent="0.2">
      <c r="D25" s="72"/>
      <c r="E25" s="72"/>
      <c r="F25" s="73"/>
      <c r="H25" s="72"/>
      <c r="I25" s="73"/>
    </row>
    <row r="26" spans="4:9" ht="13.5" customHeight="1" x14ac:dyDescent="0.2"/>
    <row r="27" spans="4:9" ht="13.5" customHeight="1" x14ac:dyDescent="0.2"/>
    <row r="28" spans="4:9" ht="13.5" customHeight="1" x14ac:dyDescent="0.2"/>
    <row r="29" spans="4:9" ht="13.5" customHeight="1" x14ac:dyDescent="0.2"/>
    <row r="30" spans="4:9" ht="13.5" customHeight="1" x14ac:dyDescent="0.2"/>
    <row r="31" spans="4:9" ht="13.5" customHeight="1" x14ac:dyDescent="0.2"/>
  </sheetData>
  <phoneticPr fontId="1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5"/>
  <sheetViews>
    <sheetView showGridLines="0" workbookViewId="0"/>
  </sheetViews>
  <sheetFormatPr defaultRowHeight="13" x14ac:dyDescent="0.2"/>
  <cols>
    <col min="1" max="3" width="2.36328125" customWidth="1"/>
    <col min="4" max="4" width="28" customWidth="1"/>
    <col min="5" max="5" width="14" customWidth="1"/>
    <col min="6" max="6" width="10" customWidth="1"/>
  </cols>
  <sheetData>
    <row r="2" spans="2:6" ht="19.5" customHeight="1" x14ac:dyDescent="0.2">
      <c r="B2" s="64" t="s">
        <v>102</v>
      </c>
    </row>
    <row r="3" spans="2:6" ht="13.5" customHeight="1" x14ac:dyDescent="0.2"/>
    <row r="4" spans="2:6" ht="13.5" customHeight="1" x14ac:dyDescent="0.2">
      <c r="D4" s="3" t="s">
        <v>103</v>
      </c>
    </row>
    <row r="5" spans="2:6" ht="13.5" customHeight="1" x14ac:dyDescent="0.2">
      <c r="D5" s="66" t="s">
        <v>104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106</v>
      </c>
      <c r="F7" s="68" t="s">
        <v>107</v>
      </c>
    </row>
    <row r="8" spans="2:6" ht="13.5" customHeight="1" x14ac:dyDescent="0.2">
      <c r="D8" s="69" t="s">
        <v>17</v>
      </c>
      <c r="E8" s="76">
        <v>20</v>
      </c>
      <c r="F8" s="77" t="s">
        <v>108</v>
      </c>
    </row>
    <row r="9" spans="2:6" ht="13.5" customHeight="1" x14ac:dyDescent="0.2">
      <c r="D9" s="72" t="s">
        <v>109</v>
      </c>
      <c r="E9" s="78">
        <v>365</v>
      </c>
      <c r="F9" s="79" t="s">
        <v>110</v>
      </c>
    </row>
    <row r="10" spans="2:6" ht="13.5" customHeight="1" x14ac:dyDescent="0.2">
      <c r="D10" s="72" t="s">
        <v>5</v>
      </c>
      <c r="E10" s="80">
        <v>0.65</v>
      </c>
      <c r="F10" s="79"/>
    </row>
    <row r="11" spans="2:6" ht="13.5" customHeight="1" x14ac:dyDescent="0.2">
      <c r="D11" s="72" t="s">
        <v>111</v>
      </c>
      <c r="E11" s="78">
        <v>50000</v>
      </c>
      <c r="F11" s="79" t="s">
        <v>112</v>
      </c>
    </row>
    <row r="12" spans="2:6" ht="13.5" customHeight="1" x14ac:dyDescent="0.2">
      <c r="D12" s="72" t="s">
        <v>113</v>
      </c>
      <c r="E12" s="81">
        <v>2</v>
      </c>
      <c r="F12" s="79" t="s">
        <v>114</v>
      </c>
    </row>
    <row r="13" spans="2:6" ht="13.5" customHeight="1" x14ac:dyDescent="0.2">
      <c r="D13" s="74" t="s">
        <v>115</v>
      </c>
      <c r="E13" s="82">
        <v>6000</v>
      </c>
      <c r="F13" s="83" t="s">
        <v>112</v>
      </c>
    </row>
    <row r="14" spans="2:6" ht="13.5" customHeight="1" x14ac:dyDescent="0.2"/>
    <row r="15" spans="2:6" ht="13.5" customHeight="1" x14ac:dyDescent="0.2"/>
    <row r="16" spans="2:6" ht="13.5" customHeight="1" x14ac:dyDescent="0.2"/>
    <row r="17" spans="4:6" ht="13.5" customHeight="1" x14ac:dyDescent="0.2">
      <c r="D17" s="97" t="s">
        <v>256</v>
      </c>
      <c r="E17" s="67"/>
      <c r="F17" s="67"/>
    </row>
    <row r="18" spans="4:6" ht="13.5" customHeight="1" x14ac:dyDescent="0.2"/>
    <row r="19" spans="4:6" ht="13.5" customHeight="1" x14ac:dyDescent="0.2">
      <c r="D19" s="68" t="s">
        <v>105</v>
      </c>
      <c r="E19" s="68" t="s">
        <v>106</v>
      </c>
      <c r="F19" s="68" t="s">
        <v>107</v>
      </c>
    </row>
    <row r="20" spans="4:6" ht="13.5" customHeight="1" x14ac:dyDescent="0.2">
      <c r="D20" s="69" t="s">
        <v>116</v>
      </c>
      <c r="E20" s="84">
        <v>0.3</v>
      </c>
      <c r="F20" s="77"/>
    </row>
    <row r="21" spans="4:6" ht="13.5" customHeight="1" x14ac:dyDescent="0.2">
      <c r="D21" s="72" t="s">
        <v>117</v>
      </c>
      <c r="E21" s="78">
        <v>60000000</v>
      </c>
      <c r="F21" s="79" t="s">
        <v>112</v>
      </c>
    </row>
    <row r="22" spans="4:6" ht="13.5" customHeight="1" x14ac:dyDescent="0.2">
      <c r="D22" s="74" t="s">
        <v>118</v>
      </c>
      <c r="E22" s="82">
        <v>48000000</v>
      </c>
      <c r="F22" s="83" t="s">
        <v>112</v>
      </c>
    </row>
    <row r="23" spans="4:6" ht="13.5" customHeight="1" x14ac:dyDescent="0.2"/>
    <row r="24" spans="4:6" ht="13.5" customHeight="1" x14ac:dyDescent="0.2">
      <c r="D24" s="3" t="s">
        <v>119</v>
      </c>
    </row>
    <row r="25" spans="4:6" ht="13.5" customHeight="1" x14ac:dyDescent="0.2"/>
  </sheetData>
  <phoneticPr fontId="1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34"/>
  <sheetViews>
    <sheetView showGridLines="0" workbookViewId="0">
      <selection activeCell="D5" sqref="D5"/>
    </sheetView>
  </sheetViews>
  <sheetFormatPr defaultRowHeight="13" x14ac:dyDescent="0.2"/>
  <cols>
    <col min="1" max="3" width="2.36328125" customWidth="1"/>
    <col min="4" max="4" width="30" customWidth="1"/>
    <col min="5" max="5" width="16" customWidth="1"/>
    <col min="6" max="6" width="34" customWidth="1"/>
  </cols>
  <sheetData>
    <row r="2" spans="2:6" ht="19.5" customHeight="1" x14ac:dyDescent="0.2">
      <c r="B2" s="64" t="s">
        <v>120</v>
      </c>
    </row>
    <row r="3" spans="2:6" ht="13.5" customHeight="1" x14ac:dyDescent="0.2"/>
    <row r="4" spans="2:6" ht="13.5" customHeight="1" x14ac:dyDescent="0.2">
      <c r="D4" s="3" t="s">
        <v>252</v>
      </c>
    </row>
    <row r="5" spans="2:6" ht="13.5" customHeight="1" x14ac:dyDescent="0.2">
      <c r="D5" s="66" t="s">
        <v>121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58</v>
      </c>
      <c r="F7" s="68" t="s">
        <v>122</v>
      </c>
    </row>
    <row r="8" spans="2:6" ht="13.5" customHeight="1" x14ac:dyDescent="0.2">
      <c r="D8" s="101" t="s">
        <v>17</v>
      </c>
      <c r="E8" s="100">
        <f>'2-4_PL①Input'!E8</f>
        <v>20</v>
      </c>
      <c r="F8" s="101" t="s">
        <v>247</v>
      </c>
    </row>
    <row r="9" spans="2:6" ht="13.5" customHeight="1" x14ac:dyDescent="0.2">
      <c r="D9" s="104" t="s">
        <v>109</v>
      </c>
      <c r="E9" s="105">
        <f>'2-4_PL①Input'!E9</f>
        <v>365</v>
      </c>
      <c r="F9" s="104" t="s">
        <v>246</v>
      </c>
    </row>
    <row r="10" spans="2:6" ht="13.5" customHeight="1" x14ac:dyDescent="0.2">
      <c r="D10" s="106" t="s">
        <v>5</v>
      </c>
      <c r="E10" s="107">
        <f>'2-4_PL①Input'!E10</f>
        <v>0.65</v>
      </c>
      <c r="F10" s="106" t="s">
        <v>246</v>
      </c>
    </row>
    <row r="11" spans="2:6" ht="13.5" customHeight="1" x14ac:dyDescent="0.2">
      <c r="D11" s="112" t="s">
        <v>248</v>
      </c>
      <c r="E11" s="119">
        <f>E8*E9*E10</f>
        <v>4745</v>
      </c>
      <c r="F11" s="113" t="s">
        <v>123</v>
      </c>
    </row>
    <row r="12" spans="2:6" ht="13.5" customHeight="1" x14ac:dyDescent="0.2"/>
    <row r="13" spans="2:6" ht="13.5" customHeight="1" x14ac:dyDescent="0.2">
      <c r="D13" s="115" t="str">
        <f>'2-4_PL①Input'!$D$11</f>
        <v>ADR（客室単価）</v>
      </c>
      <c r="E13" s="116">
        <f>'2-4_PL①Input'!E11</f>
        <v>50000</v>
      </c>
      <c r="F13" s="71" t="s">
        <v>246</v>
      </c>
    </row>
    <row r="14" spans="2:6" ht="13.5" customHeight="1" x14ac:dyDescent="0.2">
      <c r="D14" s="109" t="s">
        <v>124</v>
      </c>
      <c r="E14" s="120">
        <f>E11*E13</f>
        <v>237250000</v>
      </c>
      <c r="F14" s="109" t="s">
        <v>125</v>
      </c>
    </row>
    <row r="15" spans="2:6" ht="13.5" customHeight="1" x14ac:dyDescent="0.2">
      <c r="D15" s="109"/>
      <c r="E15" s="120"/>
      <c r="F15" s="109"/>
    </row>
    <row r="16" spans="2:6" ht="13.5" customHeight="1" x14ac:dyDescent="0.2">
      <c r="D16" s="102" t="s">
        <v>249</v>
      </c>
      <c r="E16" s="122">
        <f>'2-4_PL①Input'!E12</f>
        <v>2</v>
      </c>
      <c r="F16" s="69" t="s">
        <v>246</v>
      </c>
    </row>
    <row r="17" spans="4:6" ht="13.5" customHeight="1" x14ac:dyDescent="0.2">
      <c r="D17" s="117" t="str">
        <f>'2-4_PL①Input'!$D$13</f>
        <v>飲食単価/人</v>
      </c>
      <c r="E17" s="118">
        <f>'2-4_PL①Input'!E13</f>
        <v>6000</v>
      </c>
      <c r="F17" s="74" t="s">
        <v>246</v>
      </c>
    </row>
    <row r="18" spans="4:6" ht="13.5" customHeight="1" x14ac:dyDescent="0.2">
      <c r="D18" s="109" t="s">
        <v>126</v>
      </c>
      <c r="E18" s="120">
        <f>E11*E16*E17</f>
        <v>56940000</v>
      </c>
      <c r="F18" s="7" t="s">
        <v>250</v>
      </c>
    </row>
    <row r="19" spans="4:6" ht="13.5" customHeight="1" x14ac:dyDescent="0.2">
      <c r="D19" s="109"/>
      <c r="E19" s="120"/>
      <c r="F19" s="109"/>
    </row>
    <row r="20" spans="4:6" ht="13.5" customHeight="1" x14ac:dyDescent="0.2">
      <c r="D20" s="127" t="s">
        <v>127</v>
      </c>
      <c r="E20" s="128">
        <f>E14+E18</f>
        <v>294190000</v>
      </c>
      <c r="F20" s="129" t="s">
        <v>128</v>
      </c>
    </row>
    <row r="21" spans="4:6" ht="13.5" customHeight="1" x14ac:dyDescent="0.2">
      <c r="D21" s="109"/>
      <c r="E21" s="109"/>
      <c r="F21" s="109"/>
    </row>
    <row r="22" spans="4:6" ht="13.5" customHeight="1" x14ac:dyDescent="0.2">
      <c r="D22" s="7" t="s">
        <v>251</v>
      </c>
      <c r="E22" s="103">
        <f>'2-4_PL①Input'!E20</f>
        <v>0.3</v>
      </c>
      <c r="F22" s="109" t="s">
        <v>246</v>
      </c>
    </row>
    <row r="23" spans="4:6" ht="13.5" customHeight="1" x14ac:dyDescent="0.2">
      <c r="D23" s="109" t="s">
        <v>129</v>
      </c>
      <c r="E23" s="120">
        <f>E20*E22</f>
        <v>88257000</v>
      </c>
      <c r="F23" s="109" t="s">
        <v>130</v>
      </c>
    </row>
    <row r="24" spans="4:6" ht="13.5" customHeight="1" x14ac:dyDescent="0.2">
      <c r="D24" s="130" t="s">
        <v>131</v>
      </c>
      <c r="E24" s="131">
        <f>E20-E23</f>
        <v>205933000</v>
      </c>
      <c r="F24" s="132" t="s">
        <v>132</v>
      </c>
    </row>
    <row r="25" spans="4:6" ht="13.5" customHeight="1" x14ac:dyDescent="0.2">
      <c r="D25" s="109"/>
      <c r="E25" s="124"/>
      <c r="F25" s="109"/>
    </row>
    <row r="26" spans="4:6" ht="13.5" customHeight="1" x14ac:dyDescent="0.2">
      <c r="D26" s="69" t="str">
        <f>'2-4_PL①Input'!D21</f>
        <v>人件費（固定・年）</v>
      </c>
      <c r="E26" s="100">
        <f>'2-4_PL①Input'!E21</f>
        <v>60000000</v>
      </c>
      <c r="F26" s="69"/>
    </row>
    <row r="27" spans="4:6" ht="13.5" customHeight="1" x14ac:dyDescent="0.2">
      <c r="D27" s="74" t="str">
        <f>'2-4_PL①Input'!D22</f>
        <v>その他固定費（年）</v>
      </c>
      <c r="E27" s="126">
        <f>'2-4_PL①Input'!E22</f>
        <v>48000000</v>
      </c>
      <c r="F27" s="74"/>
    </row>
    <row r="28" spans="4:6" ht="13.5" customHeight="1" x14ac:dyDescent="0.2">
      <c r="D28" s="135" t="s">
        <v>133</v>
      </c>
      <c r="E28" s="136">
        <f>SUM(E26:E27)</f>
        <v>108000000</v>
      </c>
      <c r="F28" s="137" t="s">
        <v>134</v>
      </c>
    </row>
    <row r="29" spans="4:6" ht="13.5" customHeight="1" x14ac:dyDescent="0.2">
      <c r="D29" s="109"/>
      <c r="E29" s="120"/>
      <c r="F29" s="109"/>
    </row>
    <row r="30" spans="4:6" ht="13.5" customHeight="1" x14ac:dyDescent="0.2">
      <c r="D30" s="127" t="s">
        <v>135</v>
      </c>
      <c r="E30" s="133">
        <f>E24-E28</f>
        <v>97933000</v>
      </c>
      <c r="F30" s="134" t="s">
        <v>136</v>
      </c>
    </row>
    <row r="31" spans="4:6" ht="13.5" customHeight="1" x14ac:dyDescent="0.2"/>
    <row r="32" spans="4:6" ht="13.5" customHeight="1" x14ac:dyDescent="0.2">
      <c r="D32" s="3" t="s">
        <v>137</v>
      </c>
    </row>
    <row r="33" ht="13.5" customHeight="1" x14ac:dyDescent="0.2"/>
    <row r="34" ht="13.5" customHeight="1" x14ac:dyDescent="0.2"/>
  </sheetData>
  <phoneticPr fontId="1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19"/>
  <sheetViews>
    <sheetView showGridLines="0" workbookViewId="0"/>
  </sheetViews>
  <sheetFormatPr defaultRowHeight="13" x14ac:dyDescent="0.2"/>
  <cols>
    <col min="1" max="3" width="2.36328125" customWidth="1"/>
    <col min="4" max="4" width="23.453125" customWidth="1"/>
    <col min="5" max="5" width="18" customWidth="1"/>
    <col min="6" max="6" width="12" customWidth="1"/>
  </cols>
  <sheetData>
    <row r="2" spans="2:6" ht="19.5" customHeight="1" x14ac:dyDescent="0.2">
      <c r="B2" s="64" t="s">
        <v>138</v>
      </c>
    </row>
    <row r="3" spans="2:6" ht="13.5" customHeight="1" x14ac:dyDescent="0.2"/>
    <row r="4" spans="2:6" ht="13.5" customHeight="1" x14ac:dyDescent="0.2">
      <c r="D4" s="3" t="s">
        <v>253</v>
      </c>
    </row>
    <row r="5" spans="2:6" ht="13.5" customHeight="1" x14ac:dyDescent="0.2">
      <c r="D5" s="66" t="s">
        <v>139</v>
      </c>
      <c r="E5" s="67"/>
      <c r="F5" s="67"/>
    </row>
    <row r="6" spans="2:6" ht="13.5" customHeight="1" x14ac:dyDescent="0.2">
      <c r="D6" s="145" t="s">
        <v>254</v>
      </c>
    </row>
    <row r="7" spans="2:6" ht="13.5" customHeight="1" x14ac:dyDescent="0.2"/>
    <row r="8" spans="2:6" ht="13.5" customHeight="1" x14ac:dyDescent="0.2">
      <c r="D8" s="68" t="s">
        <v>105</v>
      </c>
      <c r="E8" s="138" t="s">
        <v>255</v>
      </c>
      <c r="F8" s="138" t="s">
        <v>259</v>
      </c>
    </row>
    <row r="9" spans="2:6" ht="13.5" customHeight="1" x14ac:dyDescent="0.2">
      <c r="D9" s="113" t="s">
        <v>140</v>
      </c>
      <c r="E9" s="139">
        <f>'2-4_PL②計算'!E20/10^6</f>
        <v>294.19</v>
      </c>
      <c r="F9" s="140">
        <f>E9/$E$9</f>
        <v>1</v>
      </c>
    </row>
    <row r="10" spans="2:6" ht="13.5" customHeight="1" x14ac:dyDescent="0.2"/>
    <row r="11" spans="2:6" ht="13.5" customHeight="1" x14ac:dyDescent="0.2">
      <c r="D11" s="114" t="s">
        <v>257</v>
      </c>
      <c r="E11" s="121">
        <f>'2-4_PL②計算'!E23/10^6</f>
        <v>88.257000000000005</v>
      </c>
      <c r="F11" s="141">
        <f>-E11/$E$9</f>
        <v>-0.30000000000000004</v>
      </c>
    </row>
    <row r="12" spans="2:6" ht="13.5" customHeight="1" x14ac:dyDescent="0.2">
      <c r="D12" s="112" t="s">
        <v>131</v>
      </c>
      <c r="E12" s="139">
        <f>E9-E11</f>
        <v>205.93299999999999</v>
      </c>
      <c r="F12" s="142">
        <f>E12/$E$9</f>
        <v>0.7</v>
      </c>
    </row>
    <row r="13" spans="2:6" ht="13.5" customHeight="1" x14ac:dyDescent="0.2"/>
    <row r="14" spans="2:6" ht="13.5" customHeight="1" x14ac:dyDescent="0.2">
      <c r="D14" s="114" t="s">
        <v>258</v>
      </c>
      <c r="E14" s="121">
        <f>'2-4_PL②計算'!E28/10^6</f>
        <v>108</v>
      </c>
      <c r="F14" s="141">
        <f>-E14/$E$9</f>
        <v>-0.36710969101601004</v>
      </c>
    </row>
    <row r="15" spans="2:6" ht="13.5" customHeight="1" x14ac:dyDescent="0.2">
      <c r="D15" s="127" t="s">
        <v>135</v>
      </c>
      <c r="E15" s="143">
        <f>E12-E14</f>
        <v>97.932999999999993</v>
      </c>
      <c r="F15" s="144">
        <f>E15/$E$9</f>
        <v>0.33289030898398991</v>
      </c>
    </row>
    <row r="16" spans="2:6" ht="13.5" customHeight="1" x14ac:dyDescent="0.2"/>
    <row r="17" spans="4:4" ht="13.5" customHeight="1" x14ac:dyDescent="0.2">
      <c r="D17" s="3" t="s">
        <v>141</v>
      </c>
    </row>
    <row r="18" spans="4:4" ht="13.5" customHeight="1" x14ac:dyDescent="0.2"/>
    <row r="19" spans="4:4" ht="13.5" customHeight="1" x14ac:dyDescent="0.2"/>
  </sheetData>
  <phoneticPr fontId="11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25"/>
  <sheetViews>
    <sheetView showGridLines="0" workbookViewId="0">
      <selection activeCell="E7" sqref="E7"/>
    </sheetView>
  </sheetViews>
  <sheetFormatPr defaultRowHeight="13" x14ac:dyDescent="0.2"/>
  <cols>
    <col min="1" max="3" width="2.36328125" customWidth="1"/>
    <col min="4" max="4" width="18" customWidth="1"/>
    <col min="5" max="5" width="40" customWidth="1"/>
    <col min="6" max="6" width="16" customWidth="1"/>
  </cols>
  <sheetData>
    <row r="2" spans="2:6" ht="19.5" customHeight="1" x14ac:dyDescent="0.2">
      <c r="B2" s="64" t="s">
        <v>142</v>
      </c>
    </row>
    <row r="3" spans="2:6" ht="13.5" customHeight="1" x14ac:dyDescent="0.2"/>
    <row r="4" spans="2:6" ht="13.5" customHeight="1" x14ac:dyDescent="0.2">
      <c r="D4" s="3" t="s">
        <v>143</v>
      </c>
    </row>
    <row r="5" spans="2:6" ht="13.5" customHeight="1" x14ac:dyDescent="0.2">
      <c r="D5" s="66" t="s">
        <v>144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145</v>
      </c>
      <c r="F7" s="68" t="s">
        <v>146</v>
      </c>
    </row>
    <row r="8" spans="2:6" ht="13.5" customHeight="1" x14ac:dyDescent="0.2">
      <c r="D8" s="69" t="s">
        <v>147</v>
      </c>
      <c r="E8" s="69" t="s">
        <v>148</v>
      </c>
      <c r="F8" s="77" t="s">
        <v>149</v>
      </c>
    </row>
    <row r="9" spans="2:6" ht="13.5" customHeight="1" x14ac:dyDescent="0.2">
      <c r="D9" s="72" t="s">
        <v>150</v>
      </c>
      <c r="E9" s="72" t="s">
        <v>151</v>
      </c>
      <c r="F9" s="79" t="s">
        <v>149</v>
      </c>
    </row>
    <row r="10" spans="2:6" ht="13.5" customHeight="1" x14ac:dyDescent="0.2">
      <c r="D10" s="74" t="s">
        <v>152</v>
      </c>
      <c r="E10" s="74" t="s">
        <v>153</v>
      </c>
      <c r="F10" s="83" t="s">
        <v>149</v>
      </c>
    </row>
    <row r="11" spans="2:6" ht="13.5" customHeight="1" x14ac:dyDescent="0.2"/>
    <row r="12" spans="2:6" ht="13.5" customHeight="1" x14ac:dyDescent="0.2"/>
    <row r="13" spans="2:6" ht="13.5" customHeight="1" x14ac:dyDescent="0.2"/>
    <row r="14" spans="2:6" ht="13.5" customHeight="1" x14ac:dyDescent="0.2">
      <c r="D14" s="66" t="s">
        <v>154</v>
      </c>
      <c r="E14" s="67"/>
      <c r="F14" s="67"/>
    </row>
    <row r="15" spans="2:6" ht="13.5" customHeight="1" x14ac:dyDescent="0.2"/>
    <row r="16" spans="2:6" ht="13.5" customHeight="1" x14ac:dyDescent="0.2">
      <c r="D16" s="68" t="s">
        <v>155</v>
      </c>
      <c r="E16" s="68" t="s">
        <v>156</v>
      </c>
      <c r="F16" s="68" t="s">
        <v>157</v>
      </c>
    </row>
    <row r="17" spans="4:6" ht="13.5" customHeight="1" x14ac:dyDescent="0.2">
      <c r="D17" s="69" t="s">
        <v>158</v>
      </c>
      <c r="E17" s="69" t="s">
        <v>159</v>
      </c>
      <c r="F17" s="77" t="s">
        <v>160</v>
      </c>
    </row>
    <row r="18" spans="4:6" ht="13.5" customHeight="1" x14ac:dyDescent="0.2">
      <c r="D18" s="72" t="s">
        <v>161</v>
      </c>
      <c r="E18" s="72" t="s">
        <v>162</v>
      </c>
      <c r="F18" s="79" t="s">
        <v>163</v>
      </c>
    </row>
    <row r="19" spans="4:6" ht="13.5" customHeight="1" x14ac:dyDescent="0.2">
      <c r="D19" s="72" t="s">
        <v>164</v>
      </c>
      <c r="E19" s="72" t="s">
        <v>165</v>
      </c>
      <c r="F19" s="79" t="s">
        <v>166</v>
      </c>
    </row>
    <row r="20" spans="4:6" ht="13.5" customHeight="1" x14ac:dyDescent="0.2">
      <c r="D20" s="72" t="s">
        <v>167</v>
      </c>
      <c r="E20" s="72" t="s">
        <v>168</v>
      </c>
      <c r="F20" s="79" t="s">
        <v>169</v>
      </c>
    </row>
    <row r="21" spans="4:6" ht="13.5" customHeight="1" x14ac:dyDescent="0.2">
      <c r="D21" s="72" t="s">
        <v>170</v>
      </c>
      <c r="E21" s="72" t="s">
        <v>171</v>
      </c>
      <c r="F21" s="79" t="s">
        <v>172</v>
      </c>
    </row>
    <row r="22" spans="4:6" ht="13.5" customHeight="1" x14ac:dyDescent="0.2">
      <c r="D22" s="72" t="s">
        <v>173</v>
      </c>
      <c r="E22" s="72" t="s">
        <v>174</v>
      </c>
      <c r="F22" s="79" t="s">
        <v>175</v>
      </c>
    </row>
    <row r="23" spans="4:6" ht="13.5" customHeight="1" x14ac:dyDescent="0.2">
      <c r="D23" s="74" t="s">
        <v>176</v>
      </c>
      <c r="E23" s="74" t="s">
        <v>177</v>
      </c>
      <c r="F23" s="83" t="s">
        <v>178</v>
      </c>
    </row>
    <row r="24" spans="4:6" ht="13.5" customHeight="1" x14ac:dyDescent="0.2"/>
    <row r="25" spans="4:6" ht="13.5" customHeight="1" x14ac:dyDescent="0.2"/>
  </sheetData>
  <phoneticPr fontId="11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4" width="15.36328125" bestFit="1" customWidth="1"/>
    <col min="5" max="5" width="14" customWidth="1"/>
    <col min="6" max="6" width="10" customWidth="1"/>
  </cols>
  <sheetData>
    <row r="2" spans="2:6" ht="19.5" customHeight="1" x14ac:dyDescent="0.2">
      <c r="B2" s="64" t="s">
        <v>179</v>
      </c>
    </row>
    <row r="3" spans="2:6" ht="13.5" customHeight="1" x14ac:dyDescent="0.2"/>
    <row r="4" spans="2:6" ht="13.5" customHeight="1" x14ac:dyDescent="0.2"/>
    <row r="5" spans="2:6" ht="13.5" customHeight="1" x14ac:dyDescent="0.2">
      <c r="D5" s="66" t="s">
        <v>180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106</v>
      </c>
      <c r="F7" s="68" t="s">
        <v>107</v>
      </c>
    </row>
    <row r="8" spans="2:6" ht="13.5" customHeight="1" x14ac:dyDescent="0.2">
      <c r="D8" s="109" t="s">
        <v>150</v>
      </c>
      <c r="E8" s="165">
        <v>0.1</v>
      </c>
      <c r="F8" s="68"/>
    </row>
    <row r="9" spans="2:6" ht="13.5" customHeight="1" x14ac:dyDescent="0.2">
      <c r="D9" s="109" t="s">
        <v>181</v>
      </c>
      <c r="E9" s="166">
        <v>7</v>
      </c>
      <c r="F9" s="68" t="s">
        <v>47</v>
      </c>
    </row>
    <row r="10" spans="2:6" ht="13.5" customHeight="1" x14ac:dyDescent="0.2">
      <c r="D10" s="109" t="s">
        <v>182</v>
      </c>
      <c r="E10" s="166">
        <v>8</v>
      </c>
      <c r="F10" s="68" t="s">
        <v>47</v>
      </c>
    </row>
    <row r="11" spans="2:6" ht="13.5" customHeight="1" x14ac:dyDescent="0.2">
      <c r="D11" s="109" t="s">
        <v>183</v>
      </c>
      <c r="E11" s="165">
        <v>0.7</v>
      </c>
      <c r="F11" s="68"/>
    </row>
    <row r="12" spans="2:6" ht="13.5" customHeight="1" x14ac:dyDescent="0.2"/>
    <row r="13" spans="2:6" ht="13.5" customHeight="1" x14ac:dyDescent="0.2"/>
  </sheetData>
  <phoneticPr fontId="11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21"/>
  <sheetViews>
    <sheetView showGridLines="0" workbookViewId="0">
      <selection activeCell="D4" sqref="D4"/>
    </sheetView>
  </sheetViews>
  <sheetFormatPr defaultRowHeight="13" x14ac:dyDescent="0.2"/>
  <cols>
    <col min="1" max="3" width="2.36328125" customWidth="1"/>
    <col min="4" max="5" width="10" customWidth="1"/>
    <col min="6" max="6" width="7" customWidth="1"/>
    <col min="7" max="7" width="14" customWidth="1"/>
    <col min="8" max="8" width="9" customWidth="1"/>
    <col min="9" max="9" width="14" customWidth="1"/>
  </cols>
  <sheetData>
    <row r="2" spans="2:9" ht="19.5" customHeight="1" x14ac:dyDescent="0.2">
      <c r="B2" s="64" t="s">
        <v>184</v>
      </c>
    </row>
    <row r="3" spans="2:9" ht="13.5" customHeight="1" x14ac:dyDescent="0.2"/>
    <row r="4" spans="2:9" ht="13.5" customHeight="1" x14ac:dyDescent="0.2">
      <c r="D4" s="3" t="s">
        <v>187</v>
      </c>
    </row>
    <row r="5" spans="2:9" ht="13.5" customHeight="1" x14ac:dyDescent="0.2">
      <c r="D5" s="66" t="s">
        <v>185</v>
      </c>
      <c r="E5" s="67"/>
      <c r="F5" s="67"/>
      <c r="G5" s="67"/>
      <c r="H5" s="67"/>
      <c r="I5" s="67"/>
    </row>
    <row r="6" spans="2:9" ht="13.5" customHeight="1" x14ac:dyDescent="0.2"/>
    <row r="7" spans="2:9" ht="13.5" customHeight="1" x14ac:dyDescent="0.2">
      <c r="D7" s="148" t="s">
        <v>66</v>
      </c>
      <c r="E7" s="148" t="s">
        <v>2</v>
      </c>
      <c r="F7" s="148" t="s">
        <v>47</v>
      </c>
      <c r="G7" s="148" t="s">
        <v>67</v>
      </c>
      <c r="H7" s="148" t="s">
        <v>68</v>
      </c>
      <c r="I7" s="148" t="s">
        <v>186</v>
      </c>
    </row>
    <row r="8" spans="2:9" ht="13.5" customHeight="1" x14ac:dyDescent="0.2">
      <c r="D8" s="148" t="s">
        <v>70</v>
      </c>
      <c r="E8" s="148" t="s">
        <v>8</v>
      </c>
      <c r="F8" s="148">
        <v>7</v>
      </c>
      <c r="G8" s="148" t="s">
        <v>61</v>
      </c>
      <c r="H8" s="148">
        <v>2</v>
      </c>
      <c r="I8" s="148">
        <v>160000</v>
      </c>
    </row>
    <row r="9" spans="2:9" ht="13.5" customHeight="1" x14ac:dyDescent="0.2">
      <c r="D9" s="148" t="s">
        <v>71</v>
      </c>
      <c r="E9" s="148" t="s">
        <v>8</v>
      </c>
      <c r="F9" s="148">
        <v>7</v>
      </c>
      <c r="G9" s="148" t="s">
        <v>72</v>
      </c>
      <c r="H9" s="148">
        <v>3</v>
      </c>
      <c r="I9" s="148">
        <v>108000</v>
      </c>
    </row>
    <row r="10" spans="2:9" ht="13.5" customHeight="1" x14ac:dyDescent="0.2">
      <c r="D10" s="148" t="s">
        <v>73</v>
      </c>
      <c r="E10" s="148" t="s">
        <v>9</v>
      </c>
      <c r="F10" s="148">
        <v>7</v>
      </c>
      <c r="G10" s="148" t="s">
        <v>72</v>
      </c>
      <c r="H10" s="148">
        <v>2</v>
      </c>
      <c r="I10" s="148">
        <v>72000</v>
      </c>
    </row>
    <row r="11" spans="2:9" ht="13.5" customHeight="1" x14ac:dyDescent="0.2">
      <c r="D11" s="148" t="s">
        <v>74</v>
      </c>
      <c r="E11" s="148" t="s">
        <v>8</v>
      </c>
      <c r="F11" s="148">
        <v>8</v>
      </c>
      <c r="G11" s="148" t="s">
        <v>61</v>
      </c>
      <c r="H11" s="148">
        <v>2</v>
      </c>
      <c r="I11" s="148">
        <v>180000</v>
      </c>
    </row>
    <row r="12" spans="2:9" ht="13.5" customHeight="1" x14ac:dyDescent="0.2">
      <c r="D12" s="148" t="s">
        <v>75</v>
      </c>
      <c r="E12" s="148" t="s">
        <v>9</v>
      </c>
      <c r="F12" s="148">
        <v>8</v>
      </c>
      <c r="G12" s="148" t="s">
        <v>61</v>
      </c>
      <c r="H12" s="148">
        <v>1</v>
      </c>
      <c r="I12" s="148">
        <v>95000</v>
      </c>
    </row>
    <row r="13" spans="2:9" ht="13.5" customHeight="1" x14ac:dyDescent="0.2">
      <c r="D13" s="148" t="s">
        <v>76</v>
      </c>
      <c r="E13" s="148" t="s">
        <v>8</v>
      </c>
      <c r="F13" s="148">
        <v>7</v>
      </c>
      <c r="G13" s="148" t="s">
        <v>72</v>
      </c>
      <c r="H13" s="148">
        <v>1</v>
      </c>
      <c r="I13" s="148">
        <v>36000</v>
      </c>
    </row>
    <row r="14" spans="2:9" ht="13.5" customHeight="1" x14ac:dyDescent="0.2">
      <c r="D14" s="148" t="s">
        <v>77</v>
      </c>
      <c r="E14" s="148" t="s">
        <v>9</v>
      </c>
      <c r="F14" s="148">
        <v>8</v>
      </c>
      <c r="G14" s="148" t="s">
        <v>72</v>
      </c>
      <c r="H14" s="148">
        <v>4</v>
      </c>
      <c r="I14" s="148">
        <v>152000</v>
      </c>
    </row>
    <row r="15" spans="2:9" ht="13.5" customHeight="1" x14ac:dyDescent="0.2">
      <c r="D15" s="148" t="s">
        <v>78</v>
      </c>
      <c r="E15" s="148" t="s">
        <v>8</v>
      </c>
      <c r="F15" s="148">
        <v>8</v>
      </c>
      <c r="G15" s="148" t="s">
        <v>72</v>
      </c>
      <c r="H15" s="148">
        <v>2</v>
      </c>
      <c r="I15" s="148">
        <v>74000</v>
      </c>
    </row>
    <row r="16" spans="2:9" ht="13.5" customHeight="1" x14ac:dyDescent="0.2">
      <c r="D16" s="148" t="s">
        <v>79</v>
      </c>
      <c r="E16" s="148" t="s">
        <v>9</v>
      </c>
      <c r="F16" s="148">
        <v>7</v>
      </c>
      <c r="G16" s="148" t="s">
        <v>61</v>
      </c>
      <c r="H16" s="148">
        <v>1</v>
      </c>
      <c r="I16" s="148">
        <v>92000</v>
      </c>
    </row>
    <row r="17" spans="4:9" ht="13.5" customHeight="1" x14ac:dyDescent="0.2">
      <c r="D17" s="148" t="s">
        <v>80</v>
      </c>
      <c r="E17" s="148" t="s">
        <v>8</v>
      </c>
      <c r="F17" s="148">
        <v>8</v>
      </c>
      <c r="G17" s="148" t="s">
        <v>61</v>
      </c>
      <c r="H17" s="148">
        <v>3</v>
      </c>
      <c r="I17" s="148">
        <v>270000</v>
      </c>
    </row>
    <row r="18" spans="4:9" ht="13.5" customHeight="1" x14ac:dyDescent="0.2"/>
    <row r="19" spans="4:9" ht="13.5" customHeight="1" x14ac:dyDescent="0.2"/>
    <row r="20" spans="4:9" ht="13.5" customHeight="1" x14ac:dyDescent="0.2"/>
    <row r="21" spans="4:9" ht="13.5" customHeight="1" x14ac:dyDescent="0.2"/>
  </sheetData>
  <phoneticPr fontId="11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5" width="12" customWidth="1"/>
    <col min="6" max="6" width="10" customWidth="1"/>
  </cols>
  <sheetData>
    <row r="2" spans="2:6" ht="19.5" customHeight="1" x14ac:dyDescent="0.2">
      <c r="B2" s="64" t="s">
        <v>188</v>
      </c>
    </row>
    <row r="3" spans="2:6" ht="13.5" customHeight="1" x14ac:dyDescent="0.2"/>
    <row r="4" spans="2:6" ht="13.5" customHeight="1" x14ac:dyDescent="0.2">
      <c r="D4" s="3"/>
    </row>
    <row r="5" spans="2:6" ht="13.5" customHeight="1" x14ac:dyDescent="0.2">
      <c r="D5" s="66" t="s">
        <v>189</v>
      </c>
      <c r="E5" s="67"/>
      <c r="F5" s="67"/>
    </row>
    <row r="6" spans="2:6" ht="13.5" customHeight="1" x14ac:dyDescent="0.2"/>
    <row r="7" spans="2:6" ht="13.5" customHeight="1" x14ac:dyDescent="0.2">
      <c r="D7" s="68" t="s">
        <v>2</v>
      </c>
      <c r="E7" s="68" t="s">
        <v>3</v>
      </c>
      <c r="F7" s="68" t="s">
        <v>190</v>
      </c>
    </row>
    <row r="8" spans="2:6" ht="13.5" customHeight="1" x14ac:dyDescent="0.2">
      <c r="D8" s="162" t="s">
        <v>8</v>
      </c>
      <c r="E8" s="163">
        <v>20</v>
      </c>
      <c r="F8" s="164" t="s">
        <v>191</v>
      </c>
    </row>
    <row r="9" spans="2:6" ht="13.5" customHeight="1" x14ac:dyDescent="0.2">
      <c r="D9" s="162" t="s">
        <v>9</v>
      </c>
      <c r="E9" s="163">
        <v>15</v>
      </c>
      <c r="F9" s="164" t="s">
        <v>191</v>
      </c>
    </row>
    <row r="10" spans="2:6" ht="13.5" customHeight="1" x14ac:dyDescent="0.2">
      <c r="D10" s="162"/>
      <c r="E10" s="163"/>
      <c r="F10" s="164"/>
    </row>
    <row r="11" spans="2:6" ht="13.5" customHeight="1" x14ac:dyDescent="0.2">
      <c r="D11" s="162"/>
      <c r="E11" s="163"/>
      <c r="F11" s="164"/>
    </row>
    <row r="12" spans="2:6" ht="13.5" customHeight="1" x14ac:dyDescent="0.2">
      <c r="D12" s="162"/>
      <c r="E12" s="163"/>
      <c r="F12" s="164"/>
    </row>
    <row r="13" spans="2:6" ht="13.5" customHeight="1" x14ac:dyDescent="0.2">
      <c r="D13" s="162"/>
      <c r="E13" s="163"/>
      <c r="F13" s="164"/>
    </row>
  </sheetData>
  <phoneticPr fontId="11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H13"/>
  <sheetViews>
    <sheetView showGridLines="0" workbookViewId="0">
      <selection activeCell="F8" sqref="F8"/>
    </sheetView>
  </sheetViews>
  <sheetFormatPr defaultRowHeight="13" x14ac:dyDescent="0.2"/>
  <cols>
    <col min="1" max="3" width="2.36328125" customWidth="1"/>
    <col min="4" max="4" width="12" customWidth="1"/>
    <col min="5" max="6" width="14" customWidth="1"/>
    <col min="7" max="7" width="12" customWidth="1"/>
    <col min="8" max="8" width="14" customWidth="1"/>
  </cols>
  <sheetData>
    <row r="2" spans="2:8" ht="19.5" customHeight="1" x14ac:dyDescent="0.2">
      <c r="B2" s="64" t="s">
        <v>192</v>
      </c>
    </row>
    <row r="3" spans="2:8" ht="13.5" customHeight="1" x14ac:dyDescent="0.2"/>
    <row r="4" spans="2:8" ht="13.5" customHeight="1" x14ac:dyDescent="0.2"/>
    <row r="5" spans="2:8" ht="13.5" customHeight="1" x14ac:dyDescent="0.2">
      <c r="D5" s="66" t="s">
        <v>193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</v>
      </c>
      <c r="E7" s="68" t="s">
        <v>85</v>
      </c>
      <c r="F7" s="138" t="s">
        <v>260</v>
      </c>
      <c r="G7" s="68" t="s">
        <v>3</v>
      </c>
      <c r="H7" s="68" t="s">
        <v>194</v>
      </c>
    </row>
    <row r="8" spans="2:8" ht="13.5" customHeight="1" x14ac:dyDescent="0.2">
      <c r="D8" s="69" t="s">
        <v>8</v>
      </c>
      <c r="E8" s="85">
        <f>SUMIFS('02_RawData'!$I$8:$I$17,'02_RawData'!$E$8:$E$17,D8)</f>
        <v>828000</v>
      </c>
      <c r="F8" s="152">
        <f>E8/$E$10</f>
        <v>0.66828087167070216</v>
      </c>
      <c r="G8" s="85">
        <f>SUMIFS('03_Master'!$E$8:$E$9,'03_Master'!$D$8:$D$9,D8)</f>
        <v>20</v>
      </c>
      <c r="H8" s="70">
        <f>E8/G8</f>
        <v>41400</v>
      </c>
    </row>
    <row r="9" spans="2:8" ht="13.5" customHeight="1" x14ac:dyDescent="0.2">
      <c r="D9" s="123" t="s">
        <v>9</v>
      </c>
      <c r="E9" s="108">
        <f>SUMIFS('02_RawData'!$I$8:$I$17,'02_RawData'!$E$8:$E$17,D9)</f>
        <v>411000</v>
      </c>
      <c r="F9" s="153">
        <f t="shared" ref="F9:F10" si="0">E9/$E$10</f>
        <v>0.33171912832929784</v>
      </c>
      <c r="G9" s="108">
        <f>SUMIFS('03_Master'!$E$8:$E$9,'03_Master'!$D$8:$D$9,D9)</f>
        <v>15</v>
      </c>
      <c r="H9" s="149">
        <f>E9/G9</f>
        <v>27400</v>
      </c>
    </row>
    <row r="10" spans="2:8" ht="13.5" customHeight="1" x14ac:dyDescent="0.2">
      <c r="D10" s="112" t="s">
        <v>11</v>
      </c>
      <c r="E10" s="119">
        <f>SUM(E8:E9)</f>
        <v>1239000</v>
      </c>
      <c r="F10" s="154">
        <f t="shared" si="0"/>
        <v>1</v>
      </c>
      <c r="G10" s="119">
        <f>SUM(G8:G9)</f>
        <v>35</v>
      </c>
      <c r="H10" s="119"/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E14"/>
  <sheetViews>
    <sheetView showGridLines="0" workbookViewId="0">
      <selection activeCell="E10" sqref="E10"/>
    </sheetView>
  </sheetViews>
  <sheetFormatPr defaultRowHeight="13" x14ac:dyDescent="0.2"/>
  <cols>
    <col min="1" max="3" width="2.36328125" customWidth="1"/>
    <col min="4" max="5" width="16" customWidth="1"/>
  </cols>
  <sheetData>
    <row r="2" spans="2:5" ht="19.5" customHeight="1" x14ac:dyDescent="0.2">
      <c r="B2" s="64" t="s">
        <v>195</v>
      </c>
    </row>
    <row r="3" spans="2:5" ht="13.5" customHeight="1" x14ac:dyDescent="0.2"/>
    <row r="4" spans="2:5" ht="13.5" customHeight="1" x14ac:dyDescent="0.2"/>
    <row r="5" spans="2:5" ht="13.5" customHeight="1" x14ac:dyDescent="0.2">
      <c r="D5" s="66" t="s">
        <v>196</v>
      </c>
      <c r="E5" s="67"/>
    </row>
    <row r="6" spans="2:5" ht="13.5" customHeight="1" x14ac:dyDescent="0.2"/>
    <row r="7" spans="2:5" ht="13.5" customHeight="1" x14ac:dyDescent="0.2">
      <c r="D7" s="68" t="s">
        <v>197</v>
      </c>
      <c r="E7" s="68" t="s">
        <v>106</v>
      </c>
    </row>
    <row r="8" spans="2:5" ht="13.5" customHeight="1" x14ac:dyDescent="0.2">
      <c r="D8" s="111" t="s">
        <v>198</v>
      </c>
      <c r="E8" s="125">
        <f>'04_Calculation'!E10</f>
        <v>1239000</v>
      </c>
    </row>
    <row r="9" spans="2:5" ht="13.5" customHeight="1" x14ac:dyDescent="0.2">
      <c r="D9" s="109"/>
      <c r="E9" s="110"/>
    </row>
    <row r="10" spans="2:5" ht="13.5" customHeight="1" x14ac:dyDescent="0.2">
      <c r="D10" s="69" t="s">
        <v>199</v>
      </c>
      <c r="E10" s="150">
        <f>'04_Calculation'!F8</f>
        <v>0.66828087167070216</v>
      </c>
    </row>
    <row r="11" spans="2:5" ht="13.5" customHeight="1" x14ac:dyDescent="0.2">
      <c r="D11" s="74" t="s">
        <v>200</v>
      </c>
      <c r="E11" s="151">
        <f>'04_Calculation'!F9</f>
        <v>0.33171912832929784</v>
      </c>
    </row>
    <row r="12" spans="2:5" ht="13.5" customHeight="1" x14ac:dyDescent="0.2"/>
    <row r="13" spans="2:5" ht="13.5" customHeight="1" x14ac:dyDescent="0.2"/>
    <row r="14" spans="2:5" ht="13.5" customHeight="1" x14ac:dyDescent="0.2"/>
  </sheetData>
  <phoneticPr fontId="11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13"/>
  <sheetViews>
    <sheetView showGridLines="0" workbookViewId="0">
      <selection activeCell="D10" sqref="D10"/>
    </sheetView>
  </sheetViews>
  <sheetFormatPr defaultRowHeight="13" x14ac:dyDescent="0.2"/>
  <cols>
    <col min="1" max="3" width="2.36328125" customWidth="1"/>
    <col min="4" max="4" width="28" customWidth="1"/>
    <col min="5" max="7" width="14" customWidth="1"/>
    <col min="8" max="8" width="10" customWidth="1"/>
  </cols>
  <sheetData>
    <row r="2" spans="2:8" ht="19.5" customHeight="1" x14ac:dyDescent="0.2">
      <c r="B2" s="64" t="s">
        <v>201</v>
      </c>
    </row>
    <row r="3" spans="2:8" ht="13.5" customHeight="1" x14ac:dyDescent="0.2"/>
    <row r="4" spans="2:8" ht="13.5" customHeight="1" x14ac:dyDescent="0.2">
      <c r="D4" s="3" t="s">
        <v>209</v>
      </c>
    </row>
    <row r="5" spans="2:8" ht="13.5" customHeight="1" x14ac:dyDescent="0.2">
      <c r="D5" s="66" t="s">
        <v>202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202</v>
      </c>
      <c r="E7" s="68" t="s">
        <v>203</v>
      </c>
      <c r="F7" s="68" t="s">
        <v>204</v>
      </c>
      <c r="G7" s="68"/>
      <c r="H7" s="68" t="s">
        <v>205</v>
      </c>
    </row>
    <row r="8" spans="2:8" ht="13.5" customHeight="1" x14ac:dyDescent="0.2">
      <c r="D8" s="69" t="s">
        <v>206</v>
      </c>
      <c r="E8" s="157">
        <f>COUNTA('02_RawData'!$D$8:$D$17)</f>
        <v>10</v>
      </c>
      <c r="F8" s="155">
        <v>10</v>
      </c>
      <c r="G8" s="159">
        <f>F8-E8</f>
        <v>0</v>
      </c>
      <c r="H8" s="87" t="str">
        <f>IF(G8&lt;0.0001,"OK","要確認")</f>
        <v>OK</v>
      </c>
    </row>
    <row r="9" spans="2:8" ht="13.5" customHeight="1" x14ac:dyDescent="0.2">
      <c r="D9" s="72" t="s">
        <v>207</v>
      </c>
      <c r="E9" s="105">
        <f>'04_Calculation'!E8+'04_Calculation'!E9</f>
        <v>1239000</v>
      </c>
      <c r="F9" s="105">
        <f>'04_Calculation'!E10</f>
        <v>1239000</v>
      </c>
      <c r="G9" s="160">
        <f t="shared" ref="G9:G10" si="0">F9-E9</f>
        <v>0</v>
      </c>
      <c r="H9" s="88" t="str">
        <f t="shared" ref="H9:H10" si="1">IF(G9&lt;0.0001,"OK","要確認")</f>
        <v>OK</v>
      </c>
    </row>
    <row r="10" spans="2:8" ht="13.5" customHeight="1" x14ac:dyDescent="0.2">
      <c r="D10" s="74" t="s">
        <v>208</v>
      </c>
      <c r="E10" s="158">
        <f>'05_Output'!E10+'05_Output'!E11</f>
        <v>1</v>
      </c>
      <c r="F10" s="156">
        <v>1</v>
      </c>
      <c r="G10" s="161">
        <f t="shared" si="0"/>
        <v>0</v>
      </c>
      <c r="H10" s="89" t="str">
        <f t="shared" si="1"/>
        <v>OK</v>
      </c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conditionalFormatting sqref="H8:H10">
    <cfRule type="cellIs" dxfId="5" priority="1" operator="equal">
      <formula>"OK"</formula>
    </cfRule>
    <cfRule type="cellIs" dxfId="4" priority="2" operator="equal">
      <formula>"要確認"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H15"/>
  <sheetViews>
    <sheetView showGridLines="0" workbookViewId="0">
      <selection activeCell="D12" sqref="D12"/>
    </sheetView>
  </sheetViews>
  <sheetFormatPr defaultRowHeight="13" x14ac:dyDescent="0.2"/>
  <cols>
    <col min="1" max="3" width="2.36328125" customWidth="1"/>
    <col min="4" max="4" width="32" customWidth="1"/>
    <col min="5" max="6" width="16" customWidth="1"/>
    <col min="7" max="7" width="14" customWidth="1"/>
    <col min="8" max="8" width="10" customWidth="1"/>
  </cols>
  <sheetData>
    <row r="2" spans="2:8" ht="19.5" customHeight="1" x14ac:dyDescent="0.2">
      <c r="B2" s="64" t="s">
        <v>210</v>
      </c>
    </row>
    <row r="3" spans="2:8" ht="13.5" customHeight="1" x14ac:dyDescent="0.2"/>
    <row r="4" spans="2:8" ht="13.5" customHeight="1" x14ac:dyDescent="0.2">
      <c r="D4" s="3" t="s">
        <v>211</v>
      </c>
    </row>
    <row r="5" spans="2:8" ht="13.5" customHeight="1" x14ac:dyDescent="0.2">
      <c r="D5" s="66" t="s">
        <v>212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202</v>
      </c>
      <c r="E7" s="68" t="s">
        <v>203</v>
      </c>
      <c r="F7" s="68" t="s">
        <v>204</v>
      </c>
      <c r="G7" s="68" t="s">
        <v>213</v>
      </c>
      <c r="H7" s="68" t="s">
        <v>205</v>
      </c>
    </row>
    <row r="8" spans="2:8" ht="13.5" customHeight="1" x14ac:dyDescent="0.2">
      <c r="D8" s="69" t="s">
        <v>214</v>
      </c>
      <c r="E8" s="70">
        <v>84000000</v>
      </c>
      <c r="F8" s="70">
        <v>84000000</v>
      </c>
      <c r="G8" s="146">
        <f t="shared" ref="G8:G12" si="0">E8-F8</f>
        <v>0</v>
      </c>
      <c r="H8" s="87" t="str">
        <f>IF(ABS(G8)&lt;1,"OK","要確認")</f>
        <v>OK</v>
      </c>
    </row>
    <row r="9" spans="2:8" ht="13.5" customHeight="1" x14ac:dyDescent="0.2">
      <c r="D9" s="72" t="s">
        <v>215</v>
      </c>
      <c r="E9" s="73">
        <v>84000000</v>
      </c>
      <c r="F9" s="73">
        <v>84000000</v>
      </c>
      <c r="G9" s="147">
        <f t="shared" si="0"/>
        <v>0</v>
      </c>
      <c r="H9" s="88" t="str">
        <f>IF(ABS(G9)&lt;1,"OK","要確認")</f>
        <v>OK</v>
      </c>
    </row>
    <row r="10" spans="2:8" ht="13.5" customHeight="1" x14ac:dyDescent="0.2">
      <c r="D10" s="72" t="s">
        <v>216</v>
      </c>
      <c r="E10" s="90">
        <v>1200</v>
      </c>
      <c r="F10" s="90">
        <v>1200</v>
      </c>
      <c r="G10" s="147">
        <f t="shared" si="0"/>
        <v>0</v>
      </c>
      <c r="H10" s="88" t="str">
        <f>IF(ABS(G10)&lt;1,"OK","要確認")</f>
        <v>OK</v>
      </c>
    </row>
    <row r="11" spans="2:8" ht="13.5" customHeight="1" x14ac:dyDescent="0.2">
      <c r="D11" s="72" t="s">
        <v>217</v>
      </c>
      <c r="E11" s="73">
        <v>92400000</v>
      </c>
      <c r="F11" s="73">
        <v>92400000</v>
      </c>
      <c r="G11" s="147">
        <f t="shared" si="0"/>
        <v>0</v>
      </c>
      <c r="H11" s="88" t="str">
        <f>IF(ABS(G11)&lt;1,"OK","要確認")</f>
        <v>OK</v>
      </c>
    </row>
    <row r="12" spans="2:8" ht="13.5" customHeight="1" x14ac:dyDescent="0.2">
      <c r="D12" s="72" t="s">
        <v>218</v>
      </c>
      <c r="E12" s="86">
        <v>1</v>
      </c>
      <c r="F12" s="86">
        <v>0.99834336000000001</v>
      </c>
      <c r="G12" s="147">
        <f t="shared" si="0"/>
        <v>1.656639999999987E-3</v>
      </c>
      <c r="H12" s="88" t="str">
        <f>IF(ABS(G12)&lt;0.0001,"OK","要確認")</f>
        <v>要確認</v>
      </c>
    </row>
    <row r="13" spans="2:8" ht="13.5" customHeight="1" x14ac:dyDescent="0.2"/>
    <row r="14" spans="2:8" ht="13.5" customHeight="1" x14ac:dyDescent="0.2">
      <c r="D14" s="65"/>
    </row>
    <row r="15" spans="2:8" ht="13.5" customHeight="1" x14ac:dyDescent="0.2"/>
  </sheetData>
  <phoneticPr fontId="11"/>
  <conditionalFormatting sqref="H8:H12">
    <cfRule type="cellIs" dxfId="3" priority="1" operator="equal">
      <formula>"OK"</formula>
    </cfRule>
    <cfRule type="cellIs" dxfId="2" priority="2" operator="equal">
      <formula>"要確認"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3"/>
  <sheetViews>
    <sheetView showGridLines="0" workbookViewId="0">
      <selection activeCell="F10" sqref="F10"/>
    </sheetView>
  </sheetViews>
  <sheetFormatPr defaultRowHeight="13" x14ac:dyDescent="0.2"/>
  <cols>
    <col min="1" max="3" width="2.36328125" customWidth="1"/>
    <col min="4" max="4" width="30" customWidth="1"/>
    <col min="5" max="5" width="14" customWidth="1"/>
    <col min="6" max="6" width="22" customWidth="1"/>
    <col min="7" max="7" width="10" customWidth="1"/>
    <col min="8" max="8" width="30" customWidth="1"/>
  </cols>
  <sheetData>
    <row r="2" spans="2:8" ht="19.5" customHeight="1" x14ac:dyDescent="0.2">
      <c r="B2" s="64" t="s">
        <v>219</v>
      </c>
    </row>
    <row r="3" spans="2:8" ht="13.5" customHeight="1" x14ac:dyDescent="0.2"/>
    <row r="4" spans="2:8" ht="13.5" customHeight="1" x14ac:dyDescent="0.2">
      <c r="D4" s="3" t="s">
        <v>220</v>
      </c>
    </row>
    <row r="5" spans="2:8" ht="13.5" customHeight="1" x14ac:dyDescent="0.2">
      <c r="D5" s="66" t="s">
        <v>221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222</v>
      </c>
      <c r="E7" s="68" t="s">
        <v>106</v>
      </c>
      <c r="F7" s="68" t="s">
        <v>223</v>
      </c>
      <c r="G7" s="68" t="s">
        <v>205</v>
      </c>
      <c r="H7" s="68" t="s">
        <v>224</v>
      </c>
    </row>
    <row r="8" spans="2:8" ht="13.5" customHeight="1" x14ac:dyDescent="0.2">
      <c r="D8" s="69" t="s">
        <v>225</v>
      </c>
      <c r="E8" s="70">
        <v>15</v>
      </c>
      <c r="F8" s="77" t="s">
        <v>226</v>
      </c>
      <c r="G8" s="91" t="str">
        <f>IF(E8&lt;=10,"OK","異常")</f>
        <v>異常</v>
      </c>
      <c r="H8" s="92" t="s">
        <v>227</v>
      </c>
    </row>
    <row r="9" spans="2:8" ht="13.5" customHeight="1" x14ac:dyDescent="0.2">
      <c r="D9" s="72" t="s">
        <v>228</v>
      </c>
      <c r="E9" s="86">
        <v>0.05</v>
      </c>
      <c r="F9" s="79" t="s">
        <v>229</v>
      </c>
      <c r="G9" s="93" t="str">
        <f>IF(AND(E9&gt;=0.2,E9&lt;=0.4),"OK","異常")</f>
        <v>異常</v>
      </c>
      <c r="H9" s="94" t="s">
        <v>230</v>
      </c>
    </row>
    <row r="10" spans="2:8" ht="13.5" customHeight="1" x14ac:dyDescent="0.2">
      <c r="D10" s="74" t="s">
        <v>231</v>
      </c>
      <c r="E10" s="75">
        <v>50000</v>
      </c>
      <c r="F10" s="83" t="s">
        <v>232</v>
      </c>
      <c r="G10" s="95" t="str">
        <f>IF(AND(E10&gt;=250000,E10&lt;=400000),"OK","異常")</f>
        <v>異常</v>
      </c>
      <c r="H10" s="96" t="s">
        <v>233</v>
      </c>
    </row>
    <row r="11" spans="2:8" ht="13.5" customHeight="1" x14ac:dyDescent="0.2"/>
    <row r="12" spans="2:8" ht="13.5" customHeight="1" x14ac:dyDescent="0.2">
      <c r="D12" s="65" t="s">
        <v>234</v>
      </c>
    </row>
    <row r="13" spans="2:8" ht="13.5" customHeight="1" x14ac:dyDescent="0.2"/>
  </sheetData>
  <phoneticPr fontId="11"/>
  <conditionalFormatting sqref="G8:G10">
    <cfRule type="cellIs" dxfId="1" priority="1" operator="equal">
      <formula>"OK"</formula>
    </cfRule>
    <cfRule type="cellIs" dxfId="0" priority="2" operator="equal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17</vt:i4>
      </vt:variant>
    </vt:vector>
  </HeadingPairs>
  <TitlesOfParts>
    <vt:vector size="17" baseType="lpstr">
      <vt:lpstr>1-1_体裁の対比</vt:lpstr>
      <vt:lpstr>1-2_操作イメージ</vt:lpstr>
      <vt:lpstr>2-1_実績集計_SUMIFS</vt:lpstr>
      <vt:lpstr>2-1_実績集計_XLOOKUP</vt:lpstr>
      <vt:lpstr>2-2_クリーニング</vt:lpstr>
      <vt:lpstr>2-4_PL①Input</vt:lpstr>
      <vt:lpstr>2-4_PL②計算</vt:lpstr>
      <vt:lpstr>2-4_PL③Output</vt:lpstr>
      <vt:lpstr>00_Index</vt:lpstr>
      <vt:lpstr>01_Assumption</vt:lpstr>
      <vt:lpstr>02_RawData</vt:lpstr>
      <vt:lpstr>03_Master</vt:lpstr>
      <vt:lpstr>04_Calculation</vt:lpstr>
      <vt:lpstr>05_Output</vt:lpstr>
      <vt:lpstr>06_Check</vt:lpstr>
      <vt:lpstr>4-1_チェックセル</vt:lpstr>
      <vt:lpstr>4-3_常識チェック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ARTH.inc</cp:lastModifiedBy>
  <dcterms:created xsi:type="dcterms:W3CDTF">2026-07-20T16:11:38Z</dcterms:created>
  <dcterms:modified xsi:type="dcterms:W3CDTF">2026-07-21T03:33:12Z</dcterms:modified>
</cp:coreProperties>
</file>