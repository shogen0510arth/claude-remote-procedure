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280" windowWidth="17320" windowHeight="10400" tabRatio="773" firstSheet="2" activeTab="4" autoFilterDateGrouping="1"/>
  </bookViews>
  <sheets>
    <sheet name="1-1_体裁の対比" sheetId="1" state="visible" r:id="rId1"/>
    <sheet name="1-2_操作イメージ" sheetId="2" state="visible" r:id="rId2"/>
    <sheet name="2-1_実績集計_SUMIFS" sheetId="3" state="visible" r:id="rId3"/>
    <sheet name="2-1_実績集計_XLOOKUP" sheetId="4" state="visible" r:id="rId4"/>
    <sheet name="2-2_クリーニング_スピル関数" sheetId="5" state="visible" r:id="rId5"/>
    <sheet name="2-2-2_スピル関数" sheetId="6" state="visible" r:id="rId6"/>
    <sheet name="2-3_演算子" sheetId="7" state="visible" r:id="rId7"/>
    <sheet name="2-5_PL①Input" sheetId="8" state="visible" r:id="rId8"/>
    <sheet name="2-5_PL②計算" sheetId="9" state="visible" r:id="rId9"/>
    <sheet name="2-5_PL③Output" sheetId="10" state="visible" r:id="rId10"/>
    <sheet name="00_Index" sheetId="11" state="visible" r:id="rId11"/>
    <sheet name="01_Assumption" sheetId="12" state="visible" r:id="rId12"/>
    <sheet name="02_RawData" sheetId="13" state="visible" r:id="rId13"/>
    <sheet name="03_Master" sheetId="14" state="visible" r:id="rId14"/>
    <sheet name="04_Calculation" sheetId="15" state="visible" r:id="rId15"/>
    <sheet name="05_Output" sheetId="16" state="visible" r:id="rId16"/>
    <sheet name="06_Check" sheetId="17" state="visible" r:id="rId17"/>
    <sheet name="4-1_チェックセル" sheetId="18" state="visible" r:id="rId18"/>
    <sheet name="4-3_常識チェック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  <numFmt numFmtId="171" formatCode="yyyy/m/d"/>
  </numFmts>
  <fonts count="42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  <font>
      <b val="1"/>
      <color rgb="FF002060"/>
      <sz val="14"/>
    </font>
    <font>
      <color rgb="FFFF0000"/>
      <sz val="9"/>
    </font>
    <font>
      <b val="1"/>
      <color rgb="FFFFFFFF"/>
      <sz val="10"/>
    </font>
    <font>
      <b val="1"/>
      <color rgb="FF000000"/>
      <sz val="10"/>
    </font>
    <font>
      <color rgb="FF000000"/>
      <sz val="10"/>
    </font>
    <font>
      <name val="ＭＳ Ｐゴシック"/>
      <charset val="128"/>
      <family val="3"/>
      <b val="1"/>
      <color rgb="FF002060"/>
      <sz val="14"/>
    </font>
    <font>
      <name val="ＭＳ Ｐゴシック"/>
      <charset val="128"/>
      <family val="3"/>
      <color rgb="FFFF0000"/>
      <sz val="9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b val="1"/>
      <color rgb="FF000000"/>
      <sz val="10"/>
    </font>
    <font>
      <name val="ＭＳ Ｐゴシック"/>
      <charset val="128"/>
      <family val="3"/>
      <color rgb="FF000000"/>
      <sz val="10"/>
    </font>
    <font>
      <b val="1"/>
      <sz val="10"/>
    </font>
    <font>
      <sz val="10"/>
    </font>
    <font>
      <b val="1"/>
      <color rgb="FFC00000"/>
      <sz val="10"/>
    </font>
  </fonts>
  <fills count="12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  <fill>
      <patternFill patternType="solid">
        <fgColor rgb="001F3F51"/>
      </patternFill>
    </fill>
    <fill>
      <patternFill patternType="solid">
        <fgColor rgb="FFDDE7F0"/>
      </patternFill>
    </fill>
    <fill>
      <patternFill patternType="solid">
        <fgColor rgb="FFEAF1FB"/>
      </patternFill>
    </fill>
    <fill>
      <patternFill patternType="solid">
        <fgColor rgb="FFFFF6D6"/>
      </patternFill>
    </fill>
    <fill>
      <patternFill patternType="solid">
        <fgColor rgb="FFFFF2CC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25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0" fontId="6" fillId="0" borderId="0" applyAlignment="1" pivotButton="0" quotePrefix="1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164" fontId="13" fillId="0" borderId="1" applyAlignment="1" pivotButton="0" quotePrefix="0" xfId="0">
      <alignment vertical="center"/>
    </xf>
    <xf numFmtId="0" fontId="0" fillId="0" borderId="17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vertical="center"/>
    </xf>
    <xf numFmtId="0" fontId="32" fillId="8" borderId="23" applyAlignment="1" pivotButton="0" quotePrefix="0" xfId="0">
      <alignment horizontal="center" vertical="center"/>
    </xf>
    <xf numFmtId="0" fontId="33" fillId="0" borderId="23" applyAlignment="1" pivotButton="0" quotePrefix="0" xfId="0">
      <alignment horizontal="center" vertical="center"/>
    </xf>
    <xf numFmtId="0" fontId="33" fillId="0" borderId="23" pivotButton="0" quotePrefix="0" xfId="0"/>
    <xf numFmtId="3" fontId="33" fillId="0" borderId="23" applyAlignment="1" pivotButton="0" quotePrefix="0" xfId="0">
      <alignment horizontal="right" vertical="center"/>
    </xf>
    <xf numFmtId="0" fontId="33" fillId="9" borderId="23" pivotButton="0" quotePrefix="0" xfId="0"/>
    <xf numFmtId="0" fontId="32" fillId="0" borderId="0" pivotButton="0" quotePrefix="0" xfId="0"/>
    <xf numFmtId="0" fontId="33" fillId="10" borderId="23" applyAlignment="1" pivotButton="0" quotePrefix="0" xfId="0">
      <alignment horizontal="center" vertical="center"/>
    </xf>
    <xf numFmtId="0" fontId="33" fillId="10" borderId="23" pivotButton="0" quotePrefix="0" xfId="0"/>
    <xf numFmtId="0" fontId="32" fillId="8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32" fillId="10" borderId="23" pivotButton="0" quotePrefix="0" xfId="0"/>
    <xf numFmtId="0" fontId="32" fillId="0" borderId="23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165" fontId="23" fillId="3" borderId="14" applyAlignment="1" pivotButton="0" quotePrefix="0" xfId="0">
      <alignment horizontal="right" vertical="center"/>
    </xf>
    <xf numFmtId="167" fontId="16" fillId="0" borderId="20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167" fontId="16" fillId="0" borderId="0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165" fontId="23" fillId="3" borderId="1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34" fillId="0" borderId="0" pivotButton="0" quotePrefix="0" xfId="0"/>
    <xf numFmtId="0" fontId="35" fillId="0" borderId="0" pivotButton="0" quotePrefix="0" xfId="0"/>
    <xf numFmtId="0" fontId="36" fillId="2" borderId="0" applyAlignment="1" pivotButton="0" quotePrefix="0" xfId="0">
      <alignment vertical="center"/>
    </xf>
    <xf numFmtId="0" fontId="37" fillId="8" borderId="28" applyAlignment="1" pivotButton="0" quotePrefix="0" xfId="0">
      <alignment horizontal="center" vertical="center"/>
    </xf>
    <xf numFmtId="0" fontId="38" fillId="0" borderId="28" applyAlignment="1" pivotButton="0" quotePrefix="0" xfId="0">
      <alignment horizontal="center" vertical="center"/>
    </xf>
    <xf numFmtId="0" fontId="38" fillId="0" borderId="28" pivotButton="0" quotePrefix="0" xfId="0"/>
    <xf numFmtId="3" fontId="38" fillId="0" borderId="28" applyAlignment="1" pivotButton="0" quotePrefix="0" xfId="0">
      <alignment horizontal="right" vertical="center"/>
    </xf>
    <xf numFmtId="0" fontId="38" fillId="9" borderId="28" pivotButton="0" quotePrefix="0" xfId="0"/>
    <xf numFmtId="0" fontId="37" fillId="0" borderId="0" pivotButton="0" quotePrefix="0" xfId="0"/>
    <xf numFmtId="0" fontId="38" fillId="10" borderId="28" applyAlignment="1" pivotButton="0" quotePrefix="0" xfId="0">
      <alignment horizontal="center" vertical="center"/>
    </xf>
    <xf numFmtId="0" fontId="38" fillId="10" borderId="28" pivotButton="0" quotePrefix="0" xfId="0"/>
    <xf numFmtId="0" fontId="37" fillId="8" borderId="28" pivotButton="0" quotePrefix="0" xfId="0"/>
    <xf numFmtId="0" fontId="37" fillId="10" borderId="28" pivotButton="0" quotePrefix="0" xfId="0"/>
    <xf numFmtId="0" fontId="39" fillId="0" borderId="0" pivotButton="0" quotePrefix="0" xfId="0"/>
    <xf numFmtId="171" fontId="40" fillId="10" borderId="23" pivotButton="0" quotePrefix="0" xfId="0"/>
    <xf numFmtId="171" fontId="40" fillId="9" borderId="23" pivotButton="0" quotePrefix="0" xfId="0"/>
    <xf numFmtId="0" fontId="40" fillId="0" borderId="23" pivotButton="0" quotePrefix="0" xfId="0"/>
    <xf numFmtId="0" fontId="10" fillId="10" borderId="23" pivotButton="0" quotePrefix="0" xfId="0"/>
    <xf numFmtId="0" fontId="41" fillId="11" borderId="0" applyAlignment="1" pivotButton="0" quotePrefix="0" xfId="0">
      <alignment vertical="center"/>
    </xf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4.08984375" customWidth="1" min="4" max="4"/>
    <col width="12.26953125" customWidth="1" min="5" max="9"/>
  </cols>
  <sheetData>
    <row r="2" ht="19.5" customHeight="1">
      <c r="B2" s="1" t="inlineStr">
        <is>
          <t>1-1. 体裁を統一できる ― 良い例と悪い例の対比</t>
        </is>
      </c>
      <c r="C2" s="1" t="n"/>
    </row>
    <row r="5" ht="13.5" customHeight="1">
      <c r="C5" s="2" t="n"/>
      <c r="D5" s="16" t="inlineStr">
        <is>
          <t>【良い例】体裁が統一されている</t>
        </is>
      </c>
      <c r="E5" s="17" t="n"/>
      <c r="F5" s="17" t="n"/>
      <c r="G5" s="17" t="n"/>
      <c r="H5" s="17" t="n"/>
      <c r="I5" s="17" t="n"/>
    </row>
    <row r="6" ht="13.5" customHeight="1">
      <c r="C6" s="2" t="n"/>
      <c r="D6" s="2" t="n"/>
      <c r="E6" s="2" t="n"/>
      <c r="F6" s="2" t="n"/>
      <c r="G6" s="2" t="n"/>
      <c r="H6" s="2" t="n"/>
      <c r="I6" s="2" t="n"/>
    </row>
    <row r="7" ht="13.5" customHeight="1">
      <c r="D7" s="6" t="inlineStr">
        <is>
          <t>施設</t>
        </is>
      </c>
      <c r="E7" s="6" t="inlineStr">
        <is>
          <t>客室数(室)</t>
        </is>
      </c>
      <c r="F7" s="6" t="inlineStr">
        <is>
          <t>稼働日数/月</t>
        </is>
      </c>
      <c r="G7" s="6" t="inlineStr">
        <is>
          <t>稼働率</t>
        </is>
      </c>
      <c r="H7" s="6" t="inlineStr">
        <is>
          <t>ADR(円)</t>
        </is>
      </c>
      <c r="I7" s="6" t="inlineStr">
        <is>
          <t>売上(千円)</t>
        </is>
      </c>
    </row>
    <row r="8" ht="13.5" customHeight="1">
      <c r="D8" s="10" t="inlineStr">
        <is>
          <t>西伊豆</t>
        </is>
      </c>
      <c r="E8" s="43" t="n">
        <v>30</v>
      </c>
      <c r="F8" s="44" t="n">
        <v>30</v>
      </c>
      <c r="G8" s="192" t="n">
        <v>0.68</v>
      </c>
      <c r="H8" s="44" t="n">
        <v>52000</v>
      </c>
      <c r="I8" s="13">
        <f>E8*F8*G8*H8/10^3</f>
        <v/>
      </c>
    </row>
    <row r="9" ht="13.5" customHeight="1">
      <c r="D9" s="11" t="inlineStr">
        <is>
          <t>熱海</t>
        </is>
      </c>
      <c r="E9" s="45" t="n">
        <v>30</v>
      </c>
      <c r="F9" s="46" t="n">
        <v>30</v>
      </c>
      <c r="G9" s="193" t="n">
        <v>0.72</v>
      </c>
      <c r="H9" s="46" t="n">
        <v>61000</v>
      </c>
      <c r="I9" s="14">
        <f>E9*F9*G9*H9/10^3</f>
        <v/>
      </c>
    </row>
    <row r="10" ht="13.5" customHeight="1">
      <c r="D10" s="12" t="inlineStr">
        <is>
          <t>箱根</t>
        </is>
      </c>
      <c r="E10" s="47" t="n">
        <v>3</v>
      </c>
      <c r="F10" s="48" t="n">
        <v>30</v>
      </c>
      <c r="G10" s="194" t="n">
        <v>0.65</v>
      </c>
      <c r="H10" s="48" t="n">
        <v>150000</v>
      </c>
      <c r="I10" s="15">
        <f>E10*F10*G10*H10/10^3</f>
        <v/>
      </c>
    </row>
    <row r="11" ht="13.5" customHeight="1">
      <c r="D11" s="7" t="inlineStr">
        <is>
          <t>合計</t>
        </is>
      </c>
      <c r="E11" s="8">
        <f>SUM(E8:E10)</f>
        <v/>
      </c>
      <c r="F11" s="8" t="n"/>
      <c r="G11" s="9" t="n"/>
      <c r="H11" s="9" t="n"/>
      <c r="I11" s="8">
        <f>SUM(I8:I10)</f>
        <v/>
      </c>
    </row>
    <row r="12" ht="13.5" customHeight="1">
      <c r="D12" s="7" t="n"/>
      <c r="E12" s="8" t="n"/>
      <c r="F12" s="8" t="n"/>
      <c r="G12" s="9" t="n"/>
      <c r="H12" s="9" t="n"/>
      <c r="I12" s="8" t="n"/>
    </row>
    <row r="13">
      <c r="D13" s="3" t="inlineStr">
        <is>
          <t>★ 罫線や色、太字は必要最小限に。　意図なく色を使わない</t>
        </is>
      </c>
    </row>
    <row r="14">
      <c r="D14" s="3" t="inlineStr">
        <is>
          <t>★ %は0.0%で桁統一／金額は#,##0</t>
        </is>
      </c>
    </row>
    <row r="15">
      <c r="D15" s="3" t="inlineStr">
        <is>
          <t>★ セル結合しない</t>
        </is>
      </c>
    </row>
    <row r="16">
      <c r="D16" s="3" t="inlineStr">
        <is>
          <t>★ 十分に行で余白を取る</t>
        </is>
      </c>
    </row>
    <row r="20" ht="13.5" customHeight="1">
      <c r="C20" s="2" t="n"/>
      <c r="D20" s="16" t="inlineStr">
        <is>
          <t>【悪い例】体裁が崩れている（★が崩れポイント）</t>
        </is>
      </c>
      <c r="E20" s="17" t="n"/>
      <c r="F20" s="17" t="n"/>
      <c r="G20" s="17" t="n"/>
      <c r="H20" s="17" t="n"/>
      <c r="I20" s="17" t="n"/>
    </row>
    <row r="21" ht="13.5" customHeight="1">
      <c r="D21" s="18" t="inlineStr">
        <is>
          <t>施設</t>
        </is>
      </c>
      <c r="E21" s="18" t="inlineStr">
        <is>
          <t>客室数</t>
        </is>
      </c>
      <c r="F21" s="18" t="inlineStr">
        <is>
          <t>稼働日数</t>
        </is>
      </c>
      <c r="G21" s="18" t="inlineStr">
        <is>
          <t>稼働</t>
        </is>
      </c>
      <c r="H21" s="18" t="inlineStr">
        <is>
          <t>ADR</t>
        </is>
      </c>
      <c r="I21" s="18" t="inlineStr">
        <is>
          <t>売上</t>
        </is>
      </c>
    </row>
    <row r="22" ht="13.5" customHeight="1">
      <c r="D22" s="18" t="inlineStr">
        <is>
          <t>西伊豆</t>
        </is>
      </c>
      <c r="E22" s="19" t="n">
        <v>30</v>
      </c>
      <c r="F22" s="19" t="n">
        <v>30</v>
      </c>
      <c r="G22" s="20" t="n">
        <v>0.68</v>
      </c>
      <c r="H22" s="19" t="inlineStr">
        <is>
          <t>52000円</t>
        </is>
      </c>
      <c r="I22" s="195">
        <f>E22*F22*G22*H22/10^3</f>
        <v/>
      </c>
    </row>
    <row r="23" ht="13.5" customHeight="1">
      <c r="D23" s="18" t="inlineStr">
        <is>
          <t>熱海</t>
        </is>
      </c>
      <c r="E23" s="19" t="n">
        <v>30</v>
      </c>
      <c r="F23" s="19" t="n">
        <v>30</v>
      </c>
      <c r="G23" s="20" t="n">
        <v>0.72</v>
      </c>
      <c r="H23" s="23" t="n">
        <v>61000</v>
      </c>
      <c r="I23" s="22">
        <f>E23*F23*G23*H23/10^3</f>
        <v/>
      </c>
    </row>
    <row r="24" ht="13.5" customHeight="1">
      <c r="D24" s="18" t="inlineStr">
        <is>
          <t>箱根</t>
        </is>
      </c>
      <c r="E24" s="19" t="n">
        <v>3</v>
      </c>
      <c r="F24" s="19" t="n">
        <v>30</v>
      </c>
      <c r="G24" s="20" t="n">
        <v>0.65</v>
      </c>
      <c r="H24" s="23" t="n">
        <v>150000</v>
      </c>
      <c r="I24" s="19">
        <f>E24*F24*G24*H24/10^3</f>
        <v/>
      </c>
    </row>
    <row r="25" ht="13.5" customHeight="1">
      <c r="D25" s="189" t="inlineStr">
        <is>
          <t>合計</t>
        </is>
      </c>
      <c r="E25" s="196" t="n"/>
      <c r="F25" s="196" t="n"/>
      <c r="G25" s="196" t="n"/>
      <c r="H25" s="191" t="n"/>
      <c r="I25" s="42">
        <f>SUM(I22:I24)</f>
        <v/>
      </c>
    </row>
    <row r="26">
      <c r="D26" s="3" t="inlineStr">
        <is>
          <t>★ 罫線や色使いに無駄が多く、作業時間を浪費。　視線が誘導されない。</t>
        </is>
      </c>
    </row>
    <row r="27">
      <c r="D27" s="3" t="inlineStr">
        <is>
          <t>★ 色を役割でなく気分で多用</t>
        </is>
      </c>
    </row>
    <row r="28">
      <c r="D28" s="3" t="inlineStr">
        <is>
          <t>★ ADR・売上に「円/千円」単位が混在し、52000円は文字列で計算不可</t>
        </is>
      </c>
    </row>
    <row r="29">
      <c r="D29" s="3" t="inlineStr">
        <is>
          <t>★ 小数点以下が無意味に多い（0.00000、#,##0.00）</t>
        </is>
      </c>
    </row>
    <row r="30">
      <c r="D30" s="3" t="inlineStr">
        <is>
          <t>★ セル結合している</t>
        </is>
      </c>
    </row>
    <row r="31">
      <c r="D31" s="3" t="inlineStr">
        <is>
          <t>★ 十分に行で余白を取れいていない</t>
        </is>
      </c>
    </row>
  </sheetData>
  <mergeCells count="1">
    <mergeCell ref="D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6" customWidth="1" min="4" max="4"/>
    <col width="14.08984375" customWidth="1" min="5" max="9"/>
    <col width="12" customWidth="1" min="10" max="10"/>
    <col width="28" customWidth="1" min="11" max="11"/>
  </cols>
  <sheetData>
    <row r="2" ht="19.5" customHeight="1">
      <c r="B2" s="1" t="inlineStr">
        <is>
          <t>1-2. 操作が速い ― キーボード操作と数式展開のイメージ</t>
        </is>
      </c>
      <c r="C2" s="1" t="n"/>
    </row>
    <row r="5" ht="13.5" customHeight="1">
      <c r="D5" s="16" t="inlineStr">
        <is>
          <t>① キーボードでセル間・表間を高速移動する</t>
        </is>
      </c>
      <c r="E5" s="16" t="n"/>
      <c r="F5" s="16" t="n"/>
      <c r="G5" s="16" t="n"/>
      <c r="H5" s="16" t="n"/>
      <c r="I5" s="16" t="n"/>
    </row>
    <row r="7" ht="13.5" customHeight="1">
      <c r="D7" s="6" t="inlineStr">
        <is>
          <t>操作イメージ</t>
        </is>
      </c>
      <c r="E7" s="33" t="inlineStr">
        <is>
          <t>キー</t>
        </is>
      </c>
      <c r="F7" s="33" t="n"/>
      <c r="G7" s="33" t="inlineStr">
        <is>
          <t>効果</t>
        </is>
      </c>
      <c r="H7" s="33" t="n"/>
      <c r="I7" s="33" t="n"/>
    </row>
    <row r="8" ht="13.5" customHeight="1">
      <c r="D8" s="10" t="inlineStr">
        <is>
          <t>表の端まで一気に移動</t>
        </is>
      </c>
      <c r="E8" s="27" t="inlineStr">
        <is>
          <t>Ctrl + 方向キー</t>
        </is>
      </c>
      <c r="F8" s="30" t="n"/>
      <c r="G8" s="27" t="inlineStr">
        <is>
          <t>データの切れ目まで一瞬でジャンプ</t>
        </is>
      </c>
      <c r="H8" s="10" t="n"/>
      <c r="I8" s="10" t="n"/>
    </row>
    <row r="9" ht="13.5" customHeight="1">
      <c r="D9" s="11" t="inlineStr">
        <is>
          <t>端まで一括で範囲選択</t>
        </is>
      </c>
      <c r="E9" s="28" t="inlineStr">
        <is>
          <t>Ctrl + Shift + 方向キー</t>
        </is>
      </c>
      <c r="F9" s="31" t="n"/>
      <c r="G9" s="28" t="inlineStr">
        <is>
          <t>そこから端までを選択（合計や書式設定に）</t>
        </is>
      </c>
      <c r="H9" s="11" t="n"/>
      <c r="I9" s="11" t="n"/>
    </row>
    <row r="10" ht="13.5" customHeight="1">
      <c r="D10" s="11" t="inlineStr">
        <is>
          <t>シートを切り替える</t>
        </is>
      </c>
      <c r="E10" s="28" t="inlineStr">
        <is>
          <t>Ctrl + PgDn / PgUp</t>
        </is>
      </c>
      <c r="F10" s="31" t="n"/>
      <c r="G10" s="28" t="inlineStr">
        <is>
          <t>右/左のシートへ移動</t>
        </is>
      </c>
      <c r="H10" s="11" t="n"/>
      <c r="I10" s="11" t="n"/>
    </row>
    <row r="11" ht="13.5" customHeight="1">
      <c r="D11" s="12" t="inlineStr">
        <is>
          <t>セルを編集モードに</t>
        </is>
      </c>
      <c r="E11" s="29" t="inlineStr">
        <is>
          <t>F2</t>
        </is>
      </c>
      <c r="F11" s="32" t="n"/>
      <c r="G11" s="29" t="inlineStr">
        <is>
          <t>マウスなしで数式を編集、もう一度押すとセル選択モード</t>
        </is>
      </c>
      <c r="H11" s="12" t="n"/>
      <c r="I11" s="12" t="n"/>
    </row>
    <row r="13">
      <c r="D13" s="3" t="inlineStr">
        <is>
          <t>※ 下の水色の範囲は「Ctrl+Shift+↓, → で一括選択される範囲」のイメージです。</t>
        </is>
      </c>
    </row>
    <row r="14" ht="13.5" customHeight="1">
      <c r="D14" s="6" t="inlineStr">
        <is>
          <t>月</t>
        </is>
      </c>
      <c r="E14" s="41" t="inlineStr">
        <is>
          <t>売上(円)</t>
        </is>
      </c>
      <c r="F14" s="34" t="n"/>
      <c r="G14" s="34" t="n"/>
      <c r="H14" s="34" t="n"/>
      <c r="I14" s="34" t="n"/>
    </row>
    <row r="15" ht="13.5" customHeight="1">
      <c r="D15" s="35" t="inlineStr">
        <is>
          <t>7月</t>
        </is>
      </c>
      <c r="E15" s="36" t="n">
        <v>7072000</v>
      </c>
    </row>
    <row r="16" ht="13.5" customHeight="1">
      <c r="D16" s="37" t="inlineStr">
        <is>
          <t>8月</t>
        </is>
      </c>
      <c r="E16" s="38" t="n">
        <v>8130000</v>
      </c>
    </row>
    <row r="17" ht="13.5" customHeight="1">
      <c r="D17" s="37" t="inlineStr">
        <is>
          <t>9月</t>
        </is>
      </c>
      <c r="E17" s="38" t="n">
        <v>6540000</v>
      </c>
    </row>
    <row r="18" ht="13.5" customHeight="1">
      <c r="D18" s="39" t="inlineStr">
        <is>
          <t>10月</t>
        </is>
      </c>
      <c r="E18" s="40" t="n">
        <v>5980000</v>
      </c>
    </row>
    <row r="19" ht="13.5" customHeight="1">
      <c r="D19" s="24" t="inlineStr">
        <is>
          <t>合計</t>
        </is>
      </c>
      <c r="E19" s="25">
        <f>SUM(E15:E18)</f>
        <v/>
      </c>
    </row>
    <row r="23" ht="13.5" customHeight="1">
      <c r="C23" s="2" t="n"/>
      <c r="D23" s="16" t="inlineStr">
        <is>
          <t>② 数式を縦・横に正しく展開する（相対参照）</t>
        </is>
      </c>
      <c r="E23" s="16" t="n"/>
      <c r="F23" s="16" t="n"/>
      <c r="G23" s="16" t="n"/>
      <c r="H23" s="16" t="n"/>
      <c r="I23" s="16" t="n"/>
    </row>
    <row r="25">
      <c r="D25" s="3" t="inlineStr">
        <is>
          <t>G列は =D×E を1つ作って下へコピー（青色セル）するだけ。参照が自動でずれる（相対参照）。</t>
        </is>
      </c>
    </row>
    <row r="26" ht="13.5" customHeight="1">
      <c r="D26" s="6" t="inlineStr">
        <is>
          <t>商品</t>
        </is>
      </c>
      <c r="E26" s="6" t="inlineStr">
        <is>
          <t>単価(円)</t>
        </is>
      </c>
      <c r="F26" s="6" t="inlineStr">
        <is>
          <t>数量</t>
        </is>
      </c>
      <c r="G26" s="6" t="inlineStr">
        <is>
          <t>金額(円)</t>
        </is>
      </c>
    </row>
    <row r="27" ht="13.5" customHeight="1">
      <c r="D27" s="10" t="inlineStr">
        <is>
          <t>シングル</t>
        </is>
      </c>
      <c r="E27" s="43" t="n">
        <v>12000</v>
      </c>
      <c r="F27" s="44" t="n">
        <v>30</v>
      </c>
      <c r="G27" s="13">
        <f>E27*F27</f>
        <v/>
      </c>
    </row>
    <row r="28" ht="13.5" customHeight="1">
      <c r="D28" s="11" t="inlineStr">
        <is>
          <t>ツイン</t>
        </is>
      </c>
      <c r="E28" s="45" t="n">
        <v>18000</v>
      </c>
      <c r="F28" s="46" t="n">
        <v>22</v>
      </c>
      <c r="G28" s="38">
        <f>E28*F28</f>
        <v/>
      </c>
    </row>
    <row r="29" ht="13.5" customHeight="1">
      <c r="D29" s="12" t="inlineStr">
        <is>
          <t>スイート</t>
        </is>
      </c>
      <c r="E29" s="47" t="n">
        <v>52000</v>
      </c>
      <c r="F29" s="48" t="n">
        <v>8</v>
      </c>
      <c r="G29" s="40">
        <f>E29*F29</f>
        <v/>
      </c>
    </row>
    <row r="30" ht="13.5" customHeight="1">
      <c r="D30" s="7" t="n"/>
      <c r="E30" s="7" t="n"/>
      <c r="F30" s="7" t="n"/>
      <c r="G30" s="7" t="n"/>
    </row>
    <row r="31">
      <c r="D31" s="3" t="inlineStr">
        <is>
          <t>作業手順</t>
        </is>
      </c>
    </row>
    <row r="32">
      <c r="D32" s="3" t="inlineStr">
        <is>
          <t xml:space="preserve">　　G27で、　Ctrl+C（コピー）　➡　Ctrl+Shift+↓（範囲選択）　➡　alt, E, S, F（数式貼り付け）</t>
        </is>
      </c>
    </row>
    <row r="35" ht="13.5" customHeight="1">
      <c r="D35" s="16" t="inlineStr">
        <is>
          <t>③ 絶対/相対/複合参照を使い分ける（$の位置）</t>
        </is>
      </c>
      <c r="E35" s="16" t="n"/>
      <c r="F35" s="16" t="n"/>
      <c r="G35" s="16" t="n"/>
      <c r="H35" s="16" t="n"/>
      <c r="I35" s="16" t="n"/>
    </row>
    <row r="36">
      <c r="E36" s="4" t="n"/>
    </row>
    <row r="37">
      <c r="D37" s="3" t="inlineStr">
        <is>
          <t>$D　＝列固定、　$38　＝行固定。　　　　　　F4キーで $ の位置を切替。</t>
        </is>
      </c>
      <c r="E37" s="4" t="n"/>
    </row>
    <row r="38" ht="13.5" customHeight="1">
      <c r="D38" s="26" t="inlineStr">
        <is>
          <t>数量＼単価</t>
        </is>
      </c>
      <c r="E38" s="55" t="n">
        <v>10000</v>
      </c>
      <c r="F38" s="55" t="n">
        <v>20000</v>
      </c>
      <c r="G38" s="55" t="n">
        <v>30000</v>
      </c>
      <c r="H38" s="55" t="n">
        <v>50000</v>
      </c>
    </row>
    <row r="39" ht="13.5" customHeight="1">
      <c r="D39" s="44" t="n">
        <v>1</v>
      </c>
      <c r="E39" s="13">
        <f>$D39*E$38</f>
        <v/>
      </c>
      <c r="F39" s="52">
        <f>$D39*F$38</f>
        <v/>
      </c>
      <c r="G39" s="52">
        <f>$D39*G$38</f>
        <v/>
      </c>
      <c r="H39" s="52">
        <f>$D39*H$38</f>
        <v/>
      </c>
    </row>
    <row r="40" ht="13.5" customHeight="1">
      <c r="D40" s="46" t="n">
        <v>2</v>
      </c>
      <c r="E40" s="38">
        <f>$D40*E$38</f>
        <v/>
      </c>
      <c r="F40" s="53">
        <f>$D40*F$38</f>
        <v/>
      </c>
      <c r="G40" s="53">
        <f>$D40*G$38</f>
        <v/>
      </c>
      <c r="H40" s="53">
        <f>$D40*H$38</f>
        <v/>
      </c>
    </row>
    <row r="41" ht="13.5" customHeight="1">
      <c r="D41" s="46" t="n">
        <v>3</v>
      </c>
      <c r="E41" s="38">
        <f>$D41*E$38</f>
        <v/>
      </c>
      <c r="F41" s="53">
        <f>$D41*F$38</f>
        <v/>
      </c>
      <c r="G41" s="53">
        <f>$D41*G$38</f>
        <v/>
      </c>
      <c r="H41" s="53">
        <f>$D41*H$38</f>
        <v/>
      </c>
    </row>
    <row r="42" ht="13.5" customHeight="1">
      <c r="D42" s="46" t="n">
        <v>5</v>
      </c>
      <c r="E42" s="38">
        <f>$D42*E$38</f>
        <v/>
      </c>
      <c r="F42" s="53">
        <f>$D42*F$38</f>
        <v/>
      </c>
      <c r="G42" s="53">
        <f>$D42*G$38</f>
        <v/>
      </c>
      <c r="H42" s="53">
        <f>$D42*H$38</f>
        <v/>
      </c>
    </row>
    <row r="43" ht="13.5" customHeight="1">
      <c r="D43" s="48" t="n">
        <v>10</v>
      </c>
      <c r="E43" s="40">
        <f>$D43*E$38</f>
        <v/>
      </c>
      <c r="F43" s="54">
        <f>$D43*F$38</f>
        <v/>
      </c>
      <c r="G43" s="54">
        <f>$D43*G$38</f>
        <v/>
      </c>
      <c r="H43" s="54">
        <f>$D43*H$38</f>
        <v/>
      </c>
    </row>
    <row r="45">
      <c r="D45" s="3" t="inlineStr">
        <is>
          <t>作業手順</t>
        </is>
      </c>
    </row>
    <row r="46">
      <c r="D46" s="3" t="inlineStr">
        <is>
          <t xml:space="preserve">　　E39で、F2（セル編集）　➡　F4（$の位置切替）　➡　Enter（編集終了）</t>
        </is>
      </c>
    </row>
    <row r="47">
      <c r="D47" s="3" t="inlineStr">
        <is>
          <t xml:space="preserve">　　E39で、　Ctrl+C（コピー）　➡　Ctrl+Shift+↓, ➞（範囲選択）　➡　alt, E, S, F（数式貼り付け）</t>
        </is>
      </c>
    </row>
  </sheetData>
  <pageMargins left="0.75" right="0.75" top="1" bottom="1" header="0.5" footer="0.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0" customWidth="1" min="4" max="4"/>
    <col width="12.26953125" customWidth="1" min="5" max="10"/>
  </cols>
  <sheetData>
    <row r="2" ht="19.5" customHeight="1">
      <c r="B2" s="1" t="inlineStr">
        <is>
          <t>2-1. 実績集計 ― 元データと集計結果（SUMIFS）</t>
        </is>
      </c>
      <c r="C2" s="1" t="n"/>
    </row>
    <row r="3">
      <c r="B3" s="5" t="n"/>
      <c r="C3" s="5" t="n"/>
    </row>
    <row r="4">
      <c r="B4" s="5" t="n"/>
      <c r="C4" s="5" t="n"/>
    </row>
    <row r="5" ht="13.5" customHeight="1">
      <c r="C5" s="2" t="n"/>
      <c r="D5" s="16" t="inlineStr">
        <is>
          <t>① 元データ：予約明細</t>
        </is>
      </c>
      <c r="E5" s="17" t="n"/>
      <c r="F5" s="17" t="n"/>
      <c r="G5" s="17" t="n"/>
      <c r="H5" s="17" t="n"/>
      <c r="I5" s="17" t="n"/>
      <c r="J5" s="17" t="n"/>
    </row>
    <row r="6" ht="13.5" customHeight="1">
      <c r="C6" s="2" t="n"/>
      <c r="D6" s="2" t="n"/>
    </row>
    <row r="7" ht="13.5" customHeight="1">
      <c r="D7" s="168" t="inlineStr">
        <is>
          <t>予約ID</t>
        </is>
      </c>
      <c r="E7" s="168" t="inlineStr">
        <is>
          <t>施設</t>
        </is>
      </c>
      <c r="F7" s="168" t="inlineStr">
        <is>
          <t>月</t>
        </is>
      </c>
      <c r="G7" s="168" t="inlineStr">
        <is>
          <t>客室タイプ</t>
        </is>
      </c>
      <c r="H7" s="168" t="inlineStr">
        <is>
          <t>泊数</t>
        </is>
      </c>
      <c r="I7" s="168" t="inlineStr">
        <is>
          <t>宿泊人数</t>
        </is>
      </c>
      <c r="J7" s="168" t="inlineStr">
        <is>
          <t>売上(円)</t>
        </is>
      </c>
    </row>
    <row r="8" ht="13.5" customHeight="1">
      <c r="D8" s="169" t="inlineStr">
        <is>
          <t>R001</t>
        </is>
      </c>
      <c r="E8" s="169" t="inlineStr">
        <is>
          <t>西伊豆</t>
        </is>
      </c>
      <c r="F8" s="186" t="n">
        <v>7</v>
      </c>
      <c r="G8" s="169" t="inlineStr">
        <is>
          <t>スイート</t>
        </is>
      </c>
      <c r="H8" s="170" t="n">
        <v>2</v>
      </c>
      <c r="I8" s="170" t="n">
        <v>4</v>
      </c>
      <c r="J8" s="170" t="n">
        <v>160000</v>
      </c>
    </row>
    <row r="9" ht="13.5" customHeight="1">
      <c r="D9" s="169" t="inlineStr">
        <is>
          <t>R002</t>
        </is>
      </c>
      <c r="E9" s="169" t="inlineStr">
        <is>
          <t>西伊豆</t>
        </is>
      </c>
      <c r="F9" s="186" t="n">
        <v>7</v>
      </c>
      <c r="G9" s="169" t="inlineStr">
        <is>
          <t>スタンダード</t>
        </is>
      </c>
      <c r="H9" s="170" t="n">
        <v>3</v>
      </c>
      <c r="I9" s="170" t="n">
        <v>4</v>
      </c>
      <c r="J9" s="170" t="n">
        <v>108000</v>
      </c>
    </row>
    <row r="10" ht="13.5" customHeight="1">
      <c r="D10" s="169" t="inlineStr">
        <is>
          <t>R003</t>
        </is>
      </c>
      <c r="E10" s="169" t="inlineStr">
        <is>
          <t>熱海</t>
        </is>
      </c>
      <c r="F10" s="186" t="n">
        <v>7</v>
      </c>
      <c r="G10" s="169" t="inlineStr">
        <is>
          <t>スタンダード</t>
        </is>
      </c>
      <c r="H10" s="170" t="n">
        <v>2</v>
      </c>
      <c r="I10" s="170" t="n">
        <v>3</v>
      </c>
      <c r="J10" s="170" t="n">
        <v>72000</v>
      </c>
    </row>
    <row r="11" ht="13.5" customHeight="1">
      <c r="D11" s="169" t="inlineStr">
        <is>
          <t>R004</t>
        </is>
      </c>
      <c r="E11" s="169" t="inlineStr">
        <is>
          <t>西伊豆</t>
        </is>
      </c>
      <c r="F11" s="186" t="n">
        <v>8</v>
      </c>
      <c r="G11" s="169" t="inlineStr">
        <is>
          <t>スイート</t>
        </is>
      </c>
      <c r="H11" s="170" t="n">
        <v>2</v>
      </c>
      <c r="I11" s="170" t="n">
        <v>2</v>
      </c>
      <c r="J11" s="170" t="n">
        <v>180000</v>
      </c>
    </row>
    <row r="12" ht="13.5" customHeight="1">
      <c r="D12" s="169" t="inlineStr">
        <is>
          <t>R005</t>
        </is>
      </c>
      <c r="E12" s="169" t="inlineStr">
        <is>
          <t>熱海</t>
        </is>
      </c>
      <c r="F12" s="186" t="n">
        <v>8</v>
      </c>
      <c r="G12" s="169" t="inlineStr">
        <is>
          <t>スイート</t>
        </is>
      </c>
      <c r="H12" s="170" t="n">
        <v>1</v>
      </c>
      <c r="I12" s="170" t="n">
        <v>2</v>
      </c>
      <c r="J12" s="170" t="n">
        <v>95000</v>
      </c>
    </row>
    <row r="13" ht="13.5" customHeight="1">
      <c r="D13" s="169" t="inlineStr">
        <is>
          <t>R006</t>
        </is>
      </c>
      <c r="E13" s="169" t="inlineStr">
        <is>
          <t>西伊豆</t>
        </is>
      </c>
      <c r="F13" s="186" t="n">
        <v>7</v>
      </c>
      <c r="G13" s="169" t="inlineStr">
        <is>
          <t>スタンダード</t>
        </is>
      </c>
      <c r="H13" s="170" t="n">
        <v>1</v>
      </c>
      <c r="I13" s="170" t="n">
        <v>2</v>
      </c>
      <c r="J13" s="170" t="n">
        <v>36000</v>
      </c>
    </row>
    <row r="14" ht="13.5" customHeight="1">
      <c r="D14" s="169" t="inlineStr">
        <is>
          <t>R007</t>
        </is>
      </c>
      <c r="E14" s="169" t="inlineStr">
        <is>
          <t>熱海</t>
        </is>
      </c>
      <c r="F14" s="186" t="n">
        <v>8</v>
      </c>
      <c r="G14" s="169" t="inlineStr">
        <is>
          <t>スタンダード</t>
        </is>
      </c>
      <c r="H14" s="170" t="n">
        <v>4</v>
      </c>
      <c r="I14" s="170" t="n">
        <v>6</v>
      </c>
      <c r="J14" s="170" t="n">
        <v>152000</v>
      </c>
    </row>
    <row r="15" ht="13.5" customHeight="1">
      <c r="D15" s="169" t="inlineStr">
        <is>
          <t>R008</t>
        </is>
      </c>
      <c r="E15" s="169" t="inlineStr">
        <is>
          <t>西伊豆</t>
        </is>
      </c>
      <c r="F15" s="186" t="n">
        <v>8</v>
      </c>
      <c r="G15" s="169" t="inlineStr">
        <is>
          <t>スタンダード</t>
        </is>
      </c>
      <c r="H15" s="170" t="n">
        <v>2</v>
      </c>
      <c r="I15" s="170" t="n">
        <v>3</v>
      </c>
      <c r="J15" s="170" t="n">
        <v>74000</v>
      </c>
    </row>
    <row r="16" ht="13.5" customHeight="1">
      <c r="D16" s="169" t="inlineStr">
        <is>
          <t>R009</t>
        </is>
      </c>
      <c r="E16" s="169" t="inlineStr">
        <is>
          <t>熱海</t>
        </is>
      </c>
      <c r="F16" s="186" t="n">
        <v>7</v>
      </c>
      <c r="G16" s="169" t="inlineStr">
        <is>
          <t>スイート</t>
        </is>
      </c>
      <c r="H16" s="170" t="n">
        <v>1</v>
      </c>
      <c r="I16" s="170" t="n">
        <v>2</v>
      </c>
      <c r="J16" s="170" t="n">
        <v>92000</v>
      </c>
    </row>
    <row r="17" ht="13.5" customHeight="1">
      <c r="D17" s="169" t="inlineStr">
        <is>
          <t>R010</t>
        </is>
      </c>
      <c r="E17" s="169" t="inlineStr">
        <is>
          <t>西伊豆</t>
        </is>
      </c>
      <c r="F17" s="186" t="n">
        <v>8</v>
      </c>
      <c r="G17" s="169" t="inlineStr">
        <is>
          <t>スイート</t>
        </is>
      </c>
      <c r="H17" s="170" t="n">
        <v>3</v>
      </c>
      <c r="I17" s="170" t="n">
        <v>5</v>
      </c>
      <c r="J17" s="170" t="n">
        <v>270000</v>
      </c>
    </row>
    <row r="21" ht="13.5" customHeight="1">
      <c r="C21" s="2" t="n"/>
      <c r="D21" s="16" t="inlineStr">
        <is>
          <t>② 集計：施設別×月別の売上（=SUMIFS）</t>
        </is>
      </c>
      <c r="E21" s="17" t="n"/>
      <c r="F21" s="17" t="n"/>
      <c r="G21" s="17" t="n"/>
      <c r="H21" s="17" t="n"/>
      <c r="I21" s="17" t="n"/>
      <c r="J21" s="17" t="n"/>
    </row>
    <row r="22" ht="13.5" customHeight="1">
      <c r="C22" s="2" t="n"/>
      <c r="D22" s="2" t="n"/>
    </row>
    <row r="23" ht="13.5" customHeight="1">
      <c r="D23" s="6" t="inlineStr">
        <is>
          <t>施設＼月</t>
        </is>
      </c>
      <c r="E23" s="6" t="n">
        <v>7</v>
      </c>
      <c r="F23" s="6" t="n">
        <v>8</v>
      </c>
      <c r="G23" s="6" t="inlineStr">
        <is>
          <t>合計</t>
        </is>
      </c>
    </row>
    <row r="24" ht="13.5" customHeight="1">
      <c r="D24" s="57" t="inlineStr">
        <is>
          <t>西伊豆</t>
        </is>
      </c>
      <c r="E24" s="61">
        <f>SUMIFS($J$8:$J$17,$E$8:$E$17,$D24,$F$8:$F$17,E$23)</f>
        <v/>
      </c>
      <c r="F24" s="59">
        <f>SUMIFS($J$8:$J$17,$E$8:$E$17,$D24,$F$8:$F$17,F$23)</f>
        <v/>
      </c>
      <c r="G24" s="61">
        <f>SUM(E24:F24)</f>
        <v/>
      </c>
    </row>
    <row r="25" ht="13.5" customHeight="1">
      <c r="D25" s="58" t="inlineStr">
        <is>
          <t>熱海</t>
        </is>
      </c>
      <c r="E25" s="62">
        <f>SUMIFS($J$8:$J$17,$E$8:$E$17,$D25,$F$8:$F$17,E$23)</f>
        <v/>
      </c>
      <c r="F25" s="60">
        <f>SUMIFS($J$8:$J$17,$E$8:$E$17,$D25,$F$8:$F$17,F$23)</f>
        <v/>
      </c>
      <c r="G25" s="62">
        <f>SUM(E25:F25)</f>
        <v/>
      </c>
    </row>
    <row r="26" ht="13.5" customHeight="1">
      <c r="D26" s="56" t="inlineStr">
        <is>
          <t>合計</t>
        </is>
      </c>
      <c r="E26" s="63">
        <f>SUM(E24:E25)</f>
        <v/>
      </c>
      <c r="F26" s="63">
        <f>SUM(F24:F25)</f>
        <v/>
      </c>
      <c r="G26" s="63">
        <f>SUM(G24:G25)</f>
        <v/>
      </c>
    </row>
    <row r="27">
      <c r="D27" s="3" t="inlineStr">
        <is>
          <t>例）D20 = =SUMIFS(売上, 施設, 西伊豆, 月, 7) 。元データを1行足すだけで自動更新。</t>
        </is>
      </c>
    </row>
    <row r="32" ht="13.5" customHeight="1">
      <c r="D32" s="16" t="inlineStr">
        <is>
          <t>③ 集計：客室タイプ別ADR（売上計÷泊数計）</t>
        </is>
      </c>
      <c r="E32" s="17" t="n"/>
      <c r="F32" s="17" t="n"/>
      <c r="G32" s="17" t="n"/>
      <c r="H32" s="17" t="n"/>
      <c r="I32" s="17" t="n"/>
      <c r="J32" s="17" t="n"/>
    </row>
    <row r="33" ht="13.5" customHeight="1">
      <c r="D33" s="2" t="n"/>
    </row>
    <row r="34" ht="13.5" customHeight="1">
      <c r="D34" s="6" t="inlineStr">
        <is>
          <t>客室タイプ</t>
        </is>
      </c>
      <c r="E34" s="6" t="inlineStr">
        <is>
          <t>売上計(円)</t>
        </is>
      </c>
      <c r="F34" s="6" t="inlineStr">
        <is>
          <t>泊数計(泊)</t>
        </is>
      </c>
      <c r="G34" s="6" t="inlineStr">
        <is>
          <t>ADR(円)</t>
        </is>
      </c>
    </row>
    <row r="35" ht="13.5" customHeight="1">
      <c r="D35" s="57" t="inlineStr">
        <is>
          <t>スイート</t>
        </is>
      </c>
      <c r="E35" s="61">
        <f>SUMIFS($J$8:$J$17,$G$8:$G$17,D35)</f>
        <v/>
      </c>
      <c r="F35" s="59">
        <f>SUMIFS($H$8:$H$17,$G$8:$G$17,D35)</f>
        <v/>
      </c>
      <c r="G35" s="61">
        <f>E35/F35</f>
        <v/>
      </c>
    </row>
    <row r="36" ht="13.5" customHeight="1">
      <c r="D36" s="58" t="inlineStr">
        <is>
          <t>スタンダード</t>
        </is>
      </c>
      <c r="E36" s="62">
        <f>SUMIFS($J$8:$J$17,$G$8:$G$17,D36)</f>
        <v/>
      </c>
      <c r="F36" s="60">
        <f>SUMIFS($H$8:$H$17,$G$8:$G$17,D36)</f>
        <v/>
      </c>
      <c r="G36" s="62">
        <f>E36/F36</f>
        <v/>
      </c>
    </row>
    <row r="37" ht="13.5" customHeight="1">
      <c r="D37" s="56" t="n"/>
      <c r="E37" s="63" t="n"/>
      <c r="F37" s="63" t="n"/>
      <c r="G37" s="63" t="n"/>
    </row>
    <row r="38">
      <c r="D38" s="3" t="inlineStr">
        <is>
          <t>ADR＝客室売上÷販売室数(泊数)。SUMIFSで分子・分母を集計して割るだけ。</t>
        </is>
      </c>
    </row>
    <row r="47" ht="13.5" customHeight="1">
      <c r="D47" s="56" t="n"/>
      <c r="E47" s="63" t="n"/>
      <c r="F47" s="63" t="n"/>
      <c r="G47" s="6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0" customWidth="1" min="4" max="4"/>
    <col width="12.26953125" customWidth="1" min="5" max="10"/>
    <col width="9.453125" bestFit="1" customWidth="1" min="11" max="11"/>
  </cols>
  <sheetData>
    <row r="2" ht="19.5" customHeight="1">
      <c r="B2" s="1" t="inlineStr">
        <is>
          <t>2-1. 実績集計 ― 元データと集計結果（XLOOKUP）</t>
        </is>
      </c>
      <c r="C2" s="1" t="n"/>
    </row>
    <row r="3">
      <c r="B3" s="5" t="n"/>
      <c r="C3" s="5" t="n"/>
    </row>
    <row r="4">
      <c r="B4" s="5" t="n"/>
      <c r="C4" s="5" t="n"/>
    </row>
    <row r="5" ht="13.5" customHeight="1">
      <c r="C5" s="2" t="n"/>
      <c r="D5" s="16" t="inlineStr">
        <is>
          <t>① 元データ：予約明細</t>
        </is>
      </c>
      <c r="E5" s="17" t="n"/>
      <c r="F5" s="17" t="n"/>
      <c r="G5" s="17" t="n"/>
      <c r="H5" s="17" t="n"/>
      <c r="I5" s="17" t="n"/>
      <c r="J5" s="17" t="n"/>
      <c r="K5" s="17" t="n"/>
    </row>
    <row r="6" ht="13.5" customHeight="1">
      <c r="C6" s="2" t="n"/>
      <c r="D6" s="2" t="n"/>
    </row>
    <row r="7" ht="13.5" customHeight="1">
      <c r="D7" s="168" t="inlineStr">
        <is>
          <t>行</t>
        </is>
      </c>
      <c r="E7" s="168" t="inlineStr">
        <is>
          <t>B 商品コード</t>
        </is>
      </c>
      <c r="F7" s="168" t="inlineStr">
        <is>
          <t>D 数量</t>
        </is>
      </c>
      <c r="G7" s="168" t="inlineStr">
        <is>
          <t>F 売上(円)</t>
        </is>
      </c>
    </row>
    <row r="8" ht="13.5" customHeight="1">
      <c r="D8" s="169" t="n">
        <v>2</v>
      </c>
      <c r="E8" s="169" t="inlineStr">
        <is>
          <t>F-102</t>
        </is>
      </c>
      <c r="F8" s="169" t="n">
        <v>4</v>
      </c>
      <c r="G8" s="170" t="n">
        <v>32000</v>
      </c>
    </row>
    <row r="9" ht="13.5" customHeight="1">
      <c r="D9" s="169" t="n">
        <v>3</v>
      </c>
      <c r="E9" s="169" t="inlineStr">
        <is>
          <t>F-101</t>
        </is>
      </c>
      <c r="F9" s="169" t="n">
        <v>6</v>
      </c>
      <c r="G9" s="170" t="n">
        <v>27000</v>
      </c>
    </row>
    <row r="10" ht="13.5" customHeight="1">
      <c r="D10" s="169" t="n">
        <v>4</v>
      </c>
      <c r="E10" s="169" t="inlineStr">
        <is>
          <t>F-103</t>
        </is>
      </c>
      <c r="F10" s="169" t="n">
        <v>5</v>
      </c>
      <c r="G10" s="170" t="n">
        <v>19000</v>
      </c>
    </row>
    <row r="11" ht="13.5" customHeight="1">
      <c r="D11" s="169" t="n">
        <v>5</v>
      </c>
      <c r="E11" s="169" t="inlineStr">
        <is>
          <t>F-999</t>
        </is>
      </c>
      <c r="F11" s="169" t="n">
        <v>2</v>
      </c>
      <c r="G11" s="170" t="n">
        <v>12000</v>
      </c>
    </row>
    <row r="15" ht="13.5" customHeight="1">
      <c r="C15" s="2" t="n"/>
      <c r="D15" s="16" t="inlineStr">
        <is>
          <t>② 元データ：マスター</t>
        </is>
      </c>
      <c r="E15" s="17" t="n"/>
      <c r="F15" s="17" t="n"/>
      <c r="G15" s="17" t="n"/>
      <c r="H15" s="17" t="n"/>
      <c r="I15" s="17" t="n"/>
      <c r="J15" s="17" t="n"/>
      <c r="K15" s="17" t="n"/>
    </row>
    <row r="16" ht="13.5" customHeight="1">
      <c r="C16" s="2" t="n"/>
      <c r="D16" s="2" t="n"/>
    </row>
    <row r="17" ht="13.5" customHeight="1">
      <c r="D17" s="6" t="inlineStr">
        <is>
          <t>A 商品コード</t>
        </is>
      </c>
      <c r="E17" s="6" t="inlineStr">
        <is>
          <t>B 商品名</t>
        </is>
      </c>
      <c r="F17" s="6" t="inlineStr">
        <is>
          <t>C 原価(円)</t>
        </is>
      </c>
    </row>
    <row r="18" ht="13.5" customHeight="1">
      <c r="D18" s="162" t="inlineStr">
        <is>
          <t>F-101</t>
        </is>
      </c>
      <c r="E18" s="187" t="inlineStr">
        <is>
          <t>金目鯛煮付</t>
        </is>
      </c>
      <c r="F18" s="187" t="n">
        <v>1800</v>
      </c>
    </row>
    <row r="19" ht="13.5" customHeight="1">
      <c r="D19" s="162" t="inlineStr">
        <is>
          <t>F-102</t>
        </is>
      </c>
      <c r="E19" s="187" t="inlineStr">
        <is>
          <t>鮑ステーキ</t>
        </is>
      </c>
      <c r="F19" s="187" t="n">
        <v>3200</v>
      </c>
    </row>
    <row r="20" ht="13.5" customHeight="1">
      <c r="D20" s="162" t="inlineStr">
        <is>
          <t>F-103</t>
        </is>
      </c>
      <c r="E20" s="187" t="inlineStr">
        <is>
          <t>地魚刺身盛</t>
        </is>
      </c>
      <c r="F20" s="187" t="n">
        <v>1500</v>
      </c>
    </row>
    <row r="25" ht="13.5" customHeight="1">
      <c r="D25" s="16" t="inlineStr">
        <is>
          <t>③ 集計：商品別売上と原価率</t>
        </is>
      </c>
      <c r="E25" s="17" t="n"/>
      <c r="F25" s="17" t="n"/>
      <c r="G25" s="17" t="n"/>
      <c r="H25" s="17" t="n"/>
      <c r="I25" s="17" t="n"/>
      <c r="J25" s="17" t="n"/>
      <c r="K25" s="17" t="n"/>
    </row>
    <row r="26" ht="13.5" customHeight="1">
      <c r="D26" s="2" t="n"/>
    </row>
    <row r="27" ht="13.5" customHeight="1">
      <c r="D27" s="6" t="inlineStr">
        <is>
          <t>行</t>
        </is>
      </c>
      <c r="E27" s="6" t="inlineStr">
        <is>
          <t>B 商品コード</t>
        </is>
      </c>
      <c r="F27" s="6" t="inlineStr">
        <is>
          <t>C 商品名</t>
        </is>
      </c>
      <c r="G27" s="6" t="inlineStr">
        <is>
          <t>D 数量</t>
        </is>
      </c>
      <c r="H27" s="6" t="inlineStr">
        <is>
          <t>E 原価単価(円)</t>
        </is>
      </c>
      <c r="I27" s="6" t="inlineStr">
        <is>
          <t>F 原価計(円)</t>
        </is>
      </c>
      <c r="J27" s="6" t="inlineStr">
        <is>
          <t>売上</t>
        </is>
      </c>
      <c r="K27" s="6" t="inlineStr">
        <is>
          <t>原価率</t>
        </is>
      </c>
    </row>
    <row r="28" ht="13.5" customHeight="1">
      <c r="D28" s="101" t="n">
        <v>2</v>
      </c>
      <c r="E28" s="172" t="inlineStr">
        <is>
          <t>F-102</t>
        </is>
      </c>
      <c r="F28" s="172">
        <f>_xlfn.XLOOKUP($E28,$D$17:$D$20,E$17:E$20,"該当なし")</f>
        <v/>
      </c>
      <c r="G28" s="171">
        <f>SUMIFS($F$8:$F$11,$E$8:$E$11,E28)</f>
        <v/>
      </c>
      <c r="H28" s="180">
        <f>_xlfn.XLOOKUP($E28,$D$17:$D$20,F$17:F$20,"該当なし")</f>
        <v/>
      </c>
      <c r="I28" s="183">
        <f>IFERROR(G28*H28,"-")</f>
        <v/>
      </c>
      <c r="J28" s="183">
        <f>SUMIFS($G$8:$G$11,$E$8:$E$11,E28)</f>
        <v/>
      </c>
      <c r="K28" s="173">
        <f>IFERROR(I28/J28,"-")</f>
        <v/>
      </c>
    </row>
    <row r="29" ht="13.5" customHeight="1">
      <c r="D29" s="104" t="n">
        <v>3</v>
      </c>
      <c r="E29" s="175" t="inlineStr">
        <is>
          <t>F-101</t>
        </is>
      </c>
      <c r="F29" s="175">
        <f>_xlfn.XLOOKUP($E29,$D$17:$D$20,E$17:E$20,"該当なし")</f>
        <v/>
      </c>
      <c r="G29" s="174">
        <f>SUMIFS($F$8:$F$11,$E$8:$E$11,E29)</f>
        <v/>
      </c>
      <c r="H29" s="181">
        <f>_xlfn.XLOOKUP($E29,$D$17:$D$20,F$17:F$20,"該当なし")</f>
        <v/>
      </c>
      <c r="I29" s="184">
        <f>IFERROR(G29*H29,"-")</f>
        <v/>
      </c>
      <c r="J29" s="184">
        <f>SUMIFS($G$8:$G$11,$E$8:$E$11,E29)</f>
        <v/>
      </c>
      <c r="K29" s="176">
        <f>IFERROR(I29/J29,"-")</f>
        <v/>
      </c>
    </row>
    <row r="30" ht="13.5" customHeight="1">
      <c r="D30" s="104" t="n">
        <v>4</v>
      </c>
      <c r="E30" s="175" t="inlineStr">
        <is>
          <t>F-103</t>
        </is>
      </c>
      <c r="F30" s="175">
        <f>_xlfn.XLOOKUP($E30,$D$17:$D$20,E$17:E$20,"該当なし")</f>
        <v/>
      </c>
      <c r="G30" s="174">
        <f>SUMIFS($F$8:$F$11,$E$8:$E$11,E30)</f>
        <v/>
      </c>
      <c r="H30" s="181">
        <f>_xlfn.XLOOKUP($E30,$D$17:$D$20,F$17:F$20,"該当なし")</f>
        <v/>
      </c>
      <c r="I30" s="184">
        <f>IFERROR(G30*H30,"-")</f>
        <v/>
      </c>
      <c r="J30" s="184">
        <f>SUMIFS($G$8:$G$11,$E$8:$E$11,E30)</f>
        <v/>
      </c>
      <c r="K30" s="176">
        <f>IFERROR(I30/J30,"-")</f>
        <v/>
      </c>
    </row>
    <row r="31" ht="13.5" customHeight="1">
      <c r="D31" s="167" t="n">
        <v>5</v>
      </c>
      <c r="E31" s="178" t="inlineStr">
        <is>
          <t>F-999</t>
        </is>
      </c>
      <c r="F31" s="178">
        <f>_xlfn.XLOOKUP($E31,$D$17:$D$20,E$17:E$20,"該当なし")</f>
        <v/>
      </c>
      <c r="G31" s="177">
        <f>SUMIFS($F$8:$F$11,$E$8:$E$11,E31)</f>
        <v/>
      </c>
      <c r="H31" s="182">
        <f>_xlfn.XLOOKUP($E31,$D$17:$D$20,F$17:F$20,"該当なし")</f>
        <v/>
      </c>
      <c r="I31" s="185">
        <f>IFERROR(G31*H31,"-")</f>
        <v/>
      </c>
      <c r="J31" s="185">
        <f>SUMIFS($G$8:$G$11,$E$8:$E$11,E31)</f>
        <v/>
      </c>
      <c r="K31" s="179">
        <f>IFERROR(I31/J31,"-")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tabSelected="1" workbookViewId="0">
      <selection activeCell="A1" sqref="A1"/>
    </sheetView>
  </sheetViews>
  <sheetFormatPr baseColWidth="8" defaultRowHeight="13"/>
  <cols>
    <col width="2.36328125" customWidth="1" min="1" max="3"/>
    <col width="10" customWidth="1" min="4" max="4"/>
    <col width="22" customWidth="1" min="5" max="5"/>
    <col width="14" customWidth="1" min="6" max="7"/>
    <col width="24" customWidth="1" min="9" max="9"/>
    <col width="14" customWidth="1" min="10" max="10"/>
  </cols>
  <sheetData>
    <row r="2" ht="19.5" customHeight="1">
      <c r="B2" s="64" t="inlineStr">
        <is>
          <t>2-2. データ加工・クリーニング ― UNIQUE / FILTER / SORT</t>
        </is>
      </c>
    </row>
    <row r="3" ht="13.5" customHeight="1"/>
    <row r="4" ht="13.5" customHeight="1">
      <c r="D4" s="3" t="inlineStr">
        <is>
          <t>元データの予約経路(OTA)には重複があります。動的配列関数でユニークな一覧を作ります。※Excelで開くと自動計算・spillします。</t>
        </is>
      </c>
    </row>
    <row r="5" ht="13.5" customHeight="1">
      <c r="D5" s="66" t="inlineStr">
        <is>
          <t>① 元データ：予約経路つき明細</t>
        </is>
      </c>
      <c r="E5" s="67" t="n"/>
      <c r="F5" s="67" t="n"/>
      <c r="G5" s="67" t="n"/>
      <c r="I5" s="97" t="inlineStr">
        <is>
          <t>② OTAのユニーク一覧</t>
        </is>
      </c>
      <c r="J5" s="67" t="n"/>
    </row>
    <row r="6" ht="13.5" customHeight="1"/>
    <row r="7" ht="13.5" customHeight="1">
      <c r="D7" s="68" t="inlineStr">
        <is>
          <t>予約ID</t>
        </is>
      </c>
      <c r="E7" s="68" t="inlineStr">
        <is>
          <t>予約経路(OTA)</t>
        </is>
      </c>
      <c r="F7" s="138" t="inlineStr">
        <is>
          <t>海外/国内</t>
        </is>
      </c>
      <c r="G7" s="68" t="inlineStr">
        <is>
          <t>売上(円)</t>
        </is>
      </c>
      <c r="I7" s="68" t="inlineStr">
        <is>
          <t>数式</t>
        </is>
      </c>
    </row>
    <row r="8" ht="13.5" customHeight="1">
      <c r="D8" s="69" t="inlineStr">
        <is>
          <t>R001</t>
        </is>
      </c>
      <c r="E8" s="69" t="inlineStr">
        <is>
          <t>楽天トラベル</t>
        </is>
      </c>
      <c r="F8" s="102" t="inlineStr">
        <is>
          <t>国内</t>
        </is>
      </c>
      <c r="G8" s="70" t="n">
        <v>160000</v>
      </c>
      <c r="I8" s="98" t="inlineStr">
        <is>
          <t>=SORT(UNIQUE(FILTER(#:#,#:#=***)))</t>
        </is>
      </c>
      <c r="J8" s="98" t="n"/>
    </row>
    <row r="9" ht="13.5" customHeight="1">
      <c r="D9" s="72" t="inlineStr">
        <is>
          <t>R002</t>
        </is>
      </c>
      <c r="E9" s="72" t="inlineStr">
        <is>
          <t>じゃらん</t>
        </is>
      </c>
      <c r="F9" s="72" t="inlineStr">
        <is>
          <t>国内</t>
        </is>
      </c>
      <c r="G9" s="73" t="n">
        <v>108000</v>
      </c>
      <c r="I9" s="3" t="inlineStr">
        <is>
          <t>↑ このセルに1つ入れるだけで、</t>
        </is>
      </c>
    </row>
    <row r="10" ht="13.5" customHeight="1">
      <c r="D10" s="72" t="inlineStr">
        <is>
          <t>R003</t>
        </is>
      </c>
      <c r="E10" s="72" t="inlineStr">
        <is>
          <t>Booking.com</t>
        </is>
      </c>
      <c r="F10" s="99" t="inlineStr">
        <is>
          <t>海外</t>
        </is>
      </c>
      <c r="G10" s="73" t="n">
        <v>72000</v>
      </c>
      <c r="I10" s="3" t="inlineStr">
        <is>
          <t>重複を除いた経路名が下方向にスピル表示されます。</t>
        </is>
      </c>
    </row>
    <row r="11" ht="13.5" customHeight="1">
      <c r="D11" s="72" t="inlineStr">
        <is>
          <t>R004</t>
        </is>
      </c>
      <c r="E11" s="72" t="inlineStr">
        <is>
          <t>楽天トラベル</t>
        </is>
      </c>
      <c r="F11" s="72" t="inlineStr">
        <is>
          <t>国内</t>
        </is>
      </c>
      <c r="G11" s="73" t="n">
        <v>180000</v>
      </c>
      <c r="I11" s="188" t="n"/>
    </row>
    <row r="12" ht="13.5" customHeight="1">
      <c r="D12" s="72" t="inlineStr">
        <is>
          <t>R005</t>
        </is>
      </c>
      <c r="E12" s="72" t="inlineStr">
        <is>
          <t>公式サイト</t>
        </is>
      </c>
      <c r="F12" s="72" t="inlineStr">
        <is>
          <t>国内</t>
        </is>
      </c>
      <c r="G12" s="73" t="n">
        <v>95000</v>
      </c>
    </row>
    <row r="13" ht="13.5" customHeight="1">
      <c r="D13" s="72" t="inlineStr">
        <is>
          <t>R006</t>
        </is>
      </c>
      <c r="E13" s="72" t="inlineStr">
        <is>
          <t>じゃらん</t>
        </is>
      </c>
      <c r="F13" s="72" t="inlineStr">
        <is>
          <t>国内</t>
        </is>
      </c>
      <c r="G13" s="73" t="n">
        <v>36000</v>
      </c>
    </row>
    <row r="14" ht="13.5" customHeight="1">
      <c r="D14" s="72" t="inlineStr">
        <is>
          <t>R007</t>
        </is>
      </c>
      <c r="E14" s="72" t="inlineStr">
        <is>
          <t>Expedia</t>
        </is>
      </c>
      <c r="F14" s="99" t="inlineStr">
        <is>
          <t>海外</t>
        </is>
      </c>
      <c r="G14" s="73" t="n">
        <v>152000</v>
      </c>
      <c r="I14" s="97" t="inlineStr">
        <is>
          <t>③ 実例：OTA別の売上集計と FILTER 抽出</t>
        </is>
      </c>
      <c r="J14" s="67" t="n"/>
    </row>
    <row r="15" ht="13.5" customHeight="1">
      <c r="D15" s="72" t="inlineStr">
        <is>
          <t>R008</t>
        </is>
      </c>
      <c r="E15" s="72" t="inlineStr">
        <is>
          <t>Booking.com</t>
        </is>
      </c>
      <c r="F15" s="99" t="inlineStr">
        <is>
          <t>海外</t>
        </is>
      </c>
      <c r="G15" s="73" t="n">
        <v>74000</v>
      </c>
    </row>
    <row r="16" ht="13.5" customHeight="1">
      <c r="D16" s="72" t="inlineStr">
        <is>
          <t>R009</t>
        </is>
      </c>
      <c r="E16" s="72" t="inlineStr">
        <is>
          <t>楽天トラベル</t>
        </is>
      </c>
      <c r="F16" s="72" t="inlineStr">
        <is>
          <t>国内</t>
        </is>
      </c>
      <c r="G16" s="73" t="n">
        <v>92000</v>
      </c>
      <c r="I16" s="68" t="inlineStr">
        <is>
          <t>OTA</t>
        </is>
      </c>
      <c r="J16" s="68" t="inlineStr">
        <is>
          <t>売上計(円)</t>
        </is>
      </c>
    </row>
    <row r="17" ht="13.5" customHeight="1">
      <c r="D17" s="72" t="inlineStr">
        <is>
          <t>R010</t>
        </is>
      </c>
      <c r="E17" s="72" t="inlineStr">
        <is>
          <t>公式サイト</t>
        </is>
      </c>
      <c r="F17" s="72" t="inlineStr">
        <is>
          <t>国内</t>
        </is>
      </c>
      <c r="G17" s="73" t="n">
        <v>270000</v>
      </c>
      <c r="I17" s="69">
        <f t="array" ref="I17:I20">_xlfn._xlws.SORT(_xlfn.UNIQUE(_xlfn._xlws.FILTER(E8:E19, F8:F19="国内")))</f>
        <v/>
      </c>
      <c r="J17" s="70">
        <f t="array" ref="J17:J20">SUMIFS($G$8:$G$19,$E$8:$E$19,_xlfn.ANCHORARRAY(I17))</f>
        <v/>
      </c>
    </row>
    <row r="18" ht="13.5" customHeight="1">
      <c r="D18" s="72" t="inlineStr">
        <is>
          <t>R011</t>
        </is>
      </c>
      <c r="E18" s="72" t="inlineStr">
        <is>
          <t>一休.com</t>
        </is>
      </c>
      <c r="F18" s="72" t="inlineStr">
        <is>
          <t>国内</t>
        </is>
      </c>
      <c r="G18" s="73" t="n">
        <v>210000</v>
      </c>
      <c r="I18" s="72" t="inlineStr">
        <is>
          <t>一休.com</t>
        </is>
      </c>
      <c r="J18" s="73" t="n">
        <v>210000</v>
      </c>
    </row>
    <row r="19" ht="13.5" customHeight="1">
      <c r="D19" s="72" t="inlineStr">
        <is>
          <t>R012</t>
        </is>
      </c>
      <c r="E19" s="72" t="inlineStr">
        <is>
          <t>じゃらん</t>
        </is>
      </c>
      <c r="F19" s="72" t="inlineStr">
        <is>
          <t>国内</t>
        </is>
      </c>
      <c r="G19" s="73" t="n">
        <v>64000</v>
      </c>
      <c r="I19" s="72" t="inlineStr">
        <is>
          <t>楽天トラベル</t>
        </is>
      </c>
      <c r="J19" s="73" t="n">
        <v>432000</v>
      </c>
    </row>
    <row r="20" ht="13.5" customHeight="1">
      <c r="D20" s="72" t="n"/>
      <c r="E20" s="99" t="inlineStr">
        <is>
          <t>・・・・</t>
        </is>
      </c>
      <c r="F20" s="99" t="n"/>
      <c r="G20" s="73" t="n"/>
      <c r="I20" s="72" t="inlineStr">
        <is>
          <t>公式サイト</t>
        </is>
      </c>
      <c r="J20" s="73" t="n">
        <v>365000</v>
      </c>
    </row>
    <row r="21" ht="13.5" customHeight="1">
      <c r="D21" s="72" t="n"/>
      <c r="E21" s="72" t="n"/>
      <c r="F21" s="72" t="n"/>
      <c r="G21" s="73" t="n"/>
      <c r="I21" s="72" t="n"/>
      <c r="J21" s="73" t="n"/>
    </row>
    <row r="22" ht="13.5" customHeight="1">
      <c r="D22" s="72" t="n"/>
      <c r="E22" s="72" t="n"/>
      <c r="F22" s="72" t="n"/>
      <c r="G22" s="73" t="n"/>
      <c r="I22" s="72" t="n"/>
      <c r="J22" s="73" t="n"/>
    </row>
    <row r="23" ht="13.5" customHeight="1">
      <c r="D23" s="72" t="n"/>
      <c r="E23" s="72" t="n"/>
      <c r="F23" s="72" t="n"/>
      <c r="G23" s="73" t="n"/>
      <c r="I23" s="72" t="n"/>
      <c r="J23" s="73" t="n"/>
    </row>
    <row r="24" ht="13.5" customHeight="1">
      <c r="D24" s="72" t="n"/>
      <c r="E24" s="72" t="n"/>
      <c r="F24" s="72" t="n"/>
      <c r="G24" s="73" t="n"/>
      <c r="I24" s="72" t="n"/>
      <c r="J24" s="73" t="n"/>
    </row>
    <row r="25" ht="13.5" customHeight="1">
      <c r="D25" s="72" t="n"/>
      <c r="E25" s="72" t="n"/>
      <c r="F25" s="72" t="n"/>
      <c r="G25" s="73" t="n"/>
      <c r="I25" s="72" t="n"/>
      <c r="J25" s="73" t="n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cols>
    <col width="2.36328125" customWidth="1" min="1" max="1"/>
    <col width="11" customWidth="1" min="2" max="2"/>
    <col width="16" customWidth="1" min="4" max="4"/>
    <col width="9" customWidth="1" min="5" max="5"/>
    <col width="12" customWidth="1" min="6" max="6"/>
    <col width="3" customWidth="1" min="7" max="7"/>
    <col width="16" customWidth="1" min="8" max="8"/>
    <col width="14" customWidth="1" min="11" max="11"/>
  </cols>
  <sheetData>
    <row r="1"/>
    <row r="2" ht="16.5" customHeight="1">
      <c r="B2" s="240" t="inlineStr">
        <is>
          <t>2-2-2. データ加工・クリーニング ― スピル関数系（UNIQUE / FILTER / SORTBY / TOCOL / TOROW / DROP / TEXTSPLIT / SEQUENCE）</t>
        </is>
      </c>
      <c r="C2" s="240" t="n"/>
    </row>
    <row r="3">
      <c r="B3" s="241" t="inlineStr">
        <is>
          <t>各「数式」セル（青）はExcelで開くと自動計算し、下方向・右方向にスピル（spill）します。※動的配列に対応した Microsoft 365 が必要です。</t>
        </is>
      </c>
      <c r="C3" s="241" t="n"/>
    </row>
    <row r="4" ht="20" customHeight="1">
      <c r="B4" s="258" t="inlineStr">
        <is>
          <t>⚠ 開いたとき数式の先頭に「@」が付く場合があります（例：=@UNIQUE(…)）。その時は数式バーで式の中の「@」をすべて削除し、Enter で確定し直すと正しくスピルします。</t>
        </is>
      </c>
    </row>
    <row r="5"/>
    <row r="6">
      <c r="B6" s="242" t="inlineStr">
        <is>
          <t>【元データ】予約明細（空白セルと『合計』行をわざと含む）</t>
        </is>
      </c>
      <c r="H6" s="242" t="inlineStr">
        <is>
          <t>① UNIQUE + TOCOL ｜ 空白を集計しない</t>
        </is>
      </c>
    </row>
    <row r="7">
      <c r="B7" s="243" t="inlineStr">
        <is>
          <t>予約ID</t>
        </is>
      </c>
      <c r="C7" s="243" t="inlineStr">
        <is>
          <t>予約経路ID</t>
        </is>
      </c>
      <c r="D7" s="243" t="inlineStr">
        <is>
          <t>予約経路</t>
        </is>
      </c>
      <c r="E7" s="243" t="inlineStr">
        <is>
          <t>区分</t>
        </is>
      </c>
      <c r="F7" s="243" t="inlineStr">
        <is>
          <t>売上</t>
        </is>
      </c>
      <c r="H7" s="241" t="inlineStr">
        <is>
          <t>UNIQUE で重複除去。</t>
        </is>
      </c>
      <c r="J7" s="241" t="inlineStr">
        <is>
          <t>TOCOL(範囲,1) で1列に畳みつつ空白を無視 → UNIQUE で重複除去。</t>
        </is>
      </c>
    </row>
    <row r="8">
      <c r="B8" s="244" t="inlineStr">
        <is>
          <t>R001</t>
        </is>
      </c>
      <c r="C8" s="244" t="inlineStr">
        <is>
          <t>RC001</t>
        </is>
      </c>
      <c r="D8" s="245" t="inlineStr">
        <is>
          <t>楽天トラベル</t>
        </is>
      </c>
      <c r="E8" s="244" t="inlineStr">
        <is>
          <t>国内</t>
        </is>
      </c>
      <c r="F8" s="246" t="n">
        <v>160000</v>
      </c>
      <c r="H8" s="247">
        <f>_xlfn.UNIQUE(D:D)</f>
        <v/>
      </c>
      <c r="J8" s="247">
        <f>_xlfn.UNIQUE(_xlfn.TOCOL(D:D,1))</f>
        <v/>
      </c>
    </row>
    <row r="9">
      <c r="B9" s="244" t="inlineStr">
        <is>
          <t>R002</t>
        </is>
      </c>
      <c r="C9" s="244" t="inlineStr">
        <is>
          <t>RC002</t>
        </is>
      </c>
      <c r="D9" s="245" t="inlineStr">
        <is>
          <t>じゃらん</t>
        </is>
      </c>
      <c r="E9" s="244" t="inlineStr">
        <is>
          <t>国内</t>
        </is>
      </c>
      <c r="F9" s="246" t="n">
        <v>108000</v>
      </c>
    </row>
    <row r="10">
      <c r="B10" s="244" t="inlineStr">
        <is>
          <t>R003</t>
        </is>
      </c>
      <c r="C10" s="244" t="inlineStr">
        <is>
          <t>RC005</t>
        </is>
      </c>
      <c r="D10" s="245" t="inlineStr">
        <is>
          <t>Booking.com</t>
        </is>
      </c>
      <c r="E10" s="244" t="inlineStr">
        <is>
          <t>海外</t>
        </is>
      </c>
      <c r="F10" s="246" t="n">
        <v>72000</v>
      </c>
    </row>
    <row r="11">
      <c r="B11" s="244" t="inlineStr">
        <is>
          <t>R004</t>
        </is>
      </c>
      <c r="C11" s="244" t="n"/>
      <c r="D11" s="245" t="n"/>
      <c r="E11" s="244" t="inlineStr">
        <is>
          <t>国内</t>
        </is>
      </c>
      <c r="F11" s="246" t="n">
        <v>180000</v>
      </c>
    </row>
    <row r="12">
      <c r="B12" s="244" t="inlineStr">
        <is>
          <t>R005</t>
        </is>
      </c>
      <c r="C12" s="244" t="inlineStr">
        <is>
          <t>RC010</t>
        </is>
      </c>
      <c r="D12" s="245" t="inlineStr">
        <is>
          <t>公式サイト</t>
        </is>
      </c>
      <c r="E12" s="244" t="inlineStr">
        <is>
          <t>国内</t>
        </is>
      </c>
      <c r="F12" s="246" t="n">
        <v>95000</v>
      </c>
    </row>
    <row r="13">
      <c r="B13" s="244" t="inlineStr">
        <is>
          <t>R006</t>
        </is>
      </c>
      <c r="C13" s="244" t="inlineStr">
        <is>
          <t>RC002</t>
        </is>
      </c>
      <c r="D13" s="245" t="inlineStr">
        <is>
          <t>じゃらん</t>
        </is>
      </c>
      <c r="E13" s="244" t="inlineStr">
        <is>
          <t>国内</t>
        </is>
      </c>
      <c r="F13" s="246" t="n">
        <v>36000</v>
      </c>
    </row>
    <row r="14">
      <c r="B14" s="244" t="inlineStr">
        <is>
          <t>R007</t>
        </is>
      </c>
      <c r="C14" s="244" t="inlineStr">
        <is>
          <t>RC008</t>
        </is>
      </c>
      <c r="D14" s="245" t="inlineStr">
        <is>
          <t>Expedia</t>
        </is>
      </c>
      <c r="E14" s="244" t="inlineStr">
        <is>
          <t>海外</t>
        </is>
      </c>
      <c r="F14" s="246" t="n">
        <v>152000</v>
      </c>
    </row>
    <row r="15">
      <c r="B15" s="244" t="inlineStr">
        <is>
          <t>R008</t>
        </is>
      </c>
      <c r="C15" s="244" t="n"/>
      <c r="D15" s="245" t="n"/>
      <c r="E15" s="244" t="inlineStr">
        <is>
          <t>海外</t>
        </is>
      </c>
      <c r="F15" s="246" t="n">
        <v>74000</v>
      </c>
    </row>
    <row r="16">
      <c r="B16" s="244" t="inlineStr">
        <is>
          <t>R009</t>
        </is>
      </c>
      <c r="C16" s="244" t="inlineStr">
        <is>
          <t>RC001</t>
        </is>
      </c>
      <c r="D16" s="245" t="inlineStr">
        <is>
          <t>楽天トラベル</t>
        </is>
      </c>
      <c r="E16" s="244" t="inlineStr">
        <is>
          <t>国内</t>
        </is>
      </c>
      <c r="F16" s="246" t="n">
        <v>92000</v>
      </c>
    </row>
    <row r="17"/>
    <row r="18">
      <c r="B18" s="241" t="inlineStr">
        <is>
          <t>※ C7がヘッダー、C11・C15 が空白</t>
        </is>
      </c>
      <c r="C18" s="241" t="n"/>
      <c r="H18" s="242" t="inlineStr">
        <is>
          <t>② UNIQUE + TOCOL + FILTER ｜ 空白＋特定セル(合計)を除外＝実データのみ</t>
        </is>
      </c>
    </row>
    <row r="19">
      <c r="B19" s="241" t="inlineStr">
        <is>
          <t>これらを除いて“実データのみ”を取り出すのが右の例です。</t>
        </is>
      </c>
      <c r="C19" s="241" t="n"/>
      <c r="H19" s="241" t="inlineStr">
        <is>
          <t>FILTER で『予約経路』を除外 → TOCOL(,1) で空白無視 → UNIQUE。</t>
        </is>
      </c>
    </row>
    <row r="20">
      <c r="H20" s="247">
        <f>_xlfn.UNIQUE(_xlfn.TOCOL(_xlfn._xlws.FILTER(D:D,D:D&lt;&gt;"予約経路"),1))</f>
        <v/>
      </c>
    </row>
    <row r="21"/>
    <row r="22"/>
    <row r="23"/>
    <row r="24"/>
    <row r="25"/>
    <row r="26"/>
    <row r="27"/>
    <row r="28"/>
    <row r="29"/>
    <row r="30">
      <c r="H30" s="242" t="inlineStr">
        <is>
          <t>③ UNIQUE + TOCOL + DROP ｜ 空白＋先頭の任意行を除外</t>
        </is>
      </c>
    </row>
    <row r="31">
      <c r="H31" s="241" t="inlineStr">
        <is>
          <t>DROP(範囲,7) で先頭7行を落とす → TOCOL(,1) → UNIQUE。ヘッダや前置き行を飛ばす用途。</t>
        </is>
      </c>
    </row>
    <row r="32">
      <c r="H32" s="247">
        <f>_xlfn.UNIQUE(_xlfn.TOCOL(_xlfn.DROP(D:D,7),1))</f>
        <v/>
      </c>
    </row>
    <row r="33"/>
    <row r="34"/>
    <row r="35"/>
    <row r="36"/>
    <row r="37"/>
    <row r="38"/>
    <row r="39"/>
    <row r="40"/>
    <row r="41"/>
    <row r="42">
      <c r="H42" s="242" t="inlineStr">
        <is>
          <t>④ ③ + SORT ｜ さらに任意の順で並べ替え（ここでは降順）</t>
        </is>
      </c>
    </row>
    <row r="43">
      <c r="H43" s="241" t="inlineStr">
        <is>
          <t>SORT(結果, 並べ替えキーの列番号, -1)。キー配列を差し替えれば任意の順に。</t>
        </is>
      </c>
    </row>
    <row r="44">
      <c r="H44" s="247">
        <f>_xlfn._xlws.SORT(_xlfn.UNIQUE(_xlfn.TOCOL(_xlfn.DROP(D:D,7),1)),1,-1)</f>
        <v/>
      </c>
    </row>
    <row r="45"/>
    <row r="46"/>
    <row r="47"/>
    <row r="48"/>
    <row r="49"/>
    <row r="50"/>
    <row r="51"/>
    <row r="52"/>
    <row r="53"/>
    <row r="54">
      <c r="H54" s="242" t="inlineStr">
        <is>
          <t>⑤ ③ + SORTBY ｜ さらに任意の順で並べ替え（ここでは昇順）</t>
        </is>
      </c>
    </row>
    <row r="55">
      <c r="H55" s="241" t="inlineStr">
        <is>
          <t>SORTBY(結果, 並べ替えキー, -1)。キー配列を差し替えれば任意の順に。</t>
        </is>
      </c>
    </row>
    <row r="56">
      <c r="H56" s="247">
        <f>_xlfn.SORTBY(_xlfn.UNIQUE(_xlfn.TOCOL(_xlfn.DROP(C:C,7),1)),_xlfn.UNIQUE(_xlfn.TOCOL(_xlfn.DROP(C:C,7),1)),1)</f>
        <v/>
      </c>
      <c r="I56" s="247">
        <f>_xlfn.XLOOKUP(_xlfn.ANCHORARRAY(H56),C:C,D:D)</f>
        <v/>
      </c>
    </row>
    <row r="57"/>
    <row r="58"/>
    <row r="59"/>
    <row r="60"/>
    <row r="61"/>
    <row r="62"/>
    <row r="63"/>
    <row r="64"/>
    <row r="65"/>
    <row r="66">
      <c r="H66" s="242" t="inlineStr">
        <is>
          <t>⑥ TOCOL / TOROW ｜ データの縦横を変換</t>
        </is>
      </c>
    </row>
    <row r="67">
      <c r="H67" s="241" t="inlineStr">
        <is>
          <t>TOCOL＝横→縦、TOROW＝縦→横。貼り付け方向を直したい時に。</t>
        </is>
      </c>
    </row>
    <row r="68">
      <c r="H68" s="248" t="inlineStr">
        <is>
          <t>横入力→</t>
        </is>
      </c>
      <c r="I68" s="249" t="inlineStr">
        <is>
          <t>月</t>
        </is>
      </c>
      <c r="J68" s="249" t="inlineStr">
        <is>
          <t>火</t>
        </is>
      </c>
      <c r="K68" s="249" t="inlineStr">
        <is>
          <t>水</t>
        </is>
      </c>
      <c r="L68" s="249" t="inlineStr">
        <is>
          <t>木</t>
        </is>
      </c>
      <c r="M68" s="249" t="inlineStr">
        <is>
          <t>金</t>
        </is>
      </c>
    </row>
    <row r="69">
      <c r="H69" s="241" t="inlineStr">
        <is>
          <t>↓ TOCOL で縦1列に</t>
        </is>
      </c>
      <c r="J69" s="241" t="inlineStr">
        <is>
          <t>→ TOROW で C8:C10 を横1行に</t>
        </is>
      </c>
    </row>
    <row r="70">
      <c r="H70" s="247">
        <f>_xlfn.TOCOL(I68:M68)</f>
        <v/>
      </c>
      <c r="J70" s="247">
        <f>_xlfn.TOROW(D8:D10)</f>
        <v/>
      </c>
    </row>
    <row r="71"/>
    <row r="72"/>
    <row r="73"/>
    <row r="74"/>
    <row r="75"/>
    <row r="76"/>
    <row r="77"/>
    <row r="78"/>
    <row r="79"/>
    <row r="80">
      <c r="H80" s="242" t="inlineStr">
        <is>
          <t>⑦ TOCOL + TEXTSPLIT ｜ カンマ区切り文字列を縦1列に</t>
        </is>
      </c>
    </row>
    <row r="81">
      <c r="H81" s="241" t="inlineStr">
        <is>
          <t>web/PDFの表を貼れない時、カンマ区切りテキストを縦のリストに展開できる。</t>
        </is>
      </c>
    </row>
    <row r="82">
      <c r="H82" s="248" t="inlineStr">
        <is>
          <t>入力→</t>
        </is>
      </c>
      <c r="I82" s="250" t="inlineStr">
        <is>
          <t>りんご,みかん,ぶどう,いちご,かき</t>
        </is>
      </c>
    </row>
    <row r="83"/>
    <row r="84">
      <c r="H84" s="247">
        <f>_xlfn.TOCOL(_xlfn.TEXTSPLIT(I82,","))</f>
        <v/>
      </c>
    </row>
    <row r="85"/>
    <row r="86"/>
    <row r="87"/>
    <row r="88"/>
    <row r="89"/>
    <row r="90"/>
    <row r="91"/>
    <row r="92"/>
    <row r="93"/>
    <row r="94">
      <c r="H94" s="242" t="inlineStr">
        <is>
          <t>⑧ SEQUENCE + ROWS ｜ データ件数ぶんの連番を自動生成</t>
        </is>
      </c>
    </row>
    <row r="95">
      <c r="H95" s="241" t="inlineStr">
        <is>
          <t>ROWS で件数を数え、その数だけ連番を作る。行が増減しても自動追従。</t>
        </is>
      </c>
    </row>
    <row r="96">
      <c r="H96" s="247">
        <f>_xlfn.SEQUENCE(ROWS(_xlfn.ANCHORARRAY(H44)))</f>
        <v/>
      </c>
      <c r="I96" s="247">
        <f>_xlfn.ANCHORARRAY(H44)</f>
        <v/>
      </c>
    </row>
    <row r="97"/>
    <row r="98"/>
    <row r="99"/>
    <row r="100"/>
    <row r="101"/>
    <row r="102">
      <c r="H102" s="199" t="inlineStr">
        <is>
          <t>⑨ EOMONTH + SEQUENCE ｜ 5年分の“月初(X月1日)”を横にスピル</t>
        </is>
      </c>
    </row>
    <row r="103">
      <c r="H103" s="198" t="inlineStr">
        <is>
          <t>SEQUENCE(1,60,0) で 0〜59 か月を作り、EOMONTH(基準,n)+1 で各月の1日に。基準日を変えると全体が動く。</t>
        </is>
      </c>
    </row>
    <row r="104">
      <c r="H104" s="253" t="inlineStr">
        <is>
          <t>基準日→</t>
        </is>
      </c>
      <c r="I104" s="254" t="n">
        <v>46037</v>
      </c>
    </row>
    <row r="105">
      <c r="H105" s="255">
        <f>EOMONTH(I104,_xlfn.SEQUENCE(1,60,0))+1</f>
        <v/>
      </c>
    </row>
    <row r="106">
      <c r="H106" s="198" t="inlineStr">
        <is>
          <t>↑ H105から右へ60列（5年＝60か月）ぶんの月初がスピルします。</t>
        </is>
      </c>
    </row>
    <row r="107">
      <c r="H107" s="242" t="inlineStr">
        <is>
          <t>▼ 問題（黄色セルに自分で数式を入れてみよう。解答は右のI列）</t>
        </is>
      </c>
    </row>
    <row r="108">
      <c r="H108" s="251" t="inlineStr">
        <is>
          <t>問題</t>
        </is>
      </c>
      <c r="I108" s="209" t="n"/>
      <c r="J108" s="209" t="n"/>
      <c r="K108" s="209" t="n"/>
      <c r="L108" s="210" t="n"/>
      <c r="M108" s="252" t="inlineStr">
        <is>
          <t>解答欄</t>
        </is>
      </c>
    </row>
    <row r="109">
      <c r="H109" s="245" t="inlineStr">
        <is>
          <t>Q1  C列から空白を除いた重複なしリストを作る</t>
        </is>
      </c>
      <c r="I109" s="209" t="n"/>
      <c r="J109" s="209" t="n"/>
      <c r="K109" s="209" t="n"/>
      <c r="L109" s="210" t="n"/>
      <c r="M109" s="250" t="n"/>
    </row>
    <row r="110">
      <c r="H110" s="245" t="inlineStr">
        <is>
          <t>Q2  Q1に加えて『合計』も除外し、実データのみのリストにする</t>
        </is>
      </c>
      <c r="I110" s="209" t="n"/>
      <c r="J110" s="209" t="n"/>
      <c r="K110" s="209" t="n"/>
      <c r="L110" s="210" t="n"/>
      <c r="M110" s="250" t="n"/>
    </row>
    <row r="111">
      <c r="H111" s="245" t="inlineStr">
        <is>
          <t>Q3  空白でない行だけを抽出し、売上の降順に並べ替える（ヘッダー除く）</t>
        </is>
      </c>
      <c r="I111" s="209" t="n"/>
      <c r="J111" s="209" t="n"/>
      <c r="K111" s="209" t="n"/>
      <c r="L111" s="210" t="n"/>
      <c r="M111" s="250" t="n"/>
    </row>
    <row r="112">
      <c r="H112" s="245" t="inlineStr">
        <is>
          <t>Q4  文字列『東京,大阪,名古屋』を縦1列に展開する</t>
        </is>
      </c>
      <c r="I112" s="209" t="n"/>
      <c r="J112" s="209" t="n"/>
      <c r="K112" s="209" t="n"/>
      <c r="L112" s="210" t="n"/>
      <c r="M112" s="250" t="n"/>
    </row>
    <row r="113">
      <c r="H113" s="245" t="inlineStr">
        <is>
          <t>Q5  元データの件数ぶん（10行）の連番を作る</t>
        </is>
      </c>
      <c r="I113" s="209" t="n"/>
      <c r="J113" s="209" t="n"/>
      <c r="K113" s="209" t="n"/>
      <c r="L113" s="210" t="n"/>
      <c r="M113" s="250" t="n"/>
    </row>
    <row r="114">
      <c r="H114" s="256" t="inlineStr">
        <is>
          <t>Q6  基準日セルから5年分（60か月）の月初（1日）を横1行にスピルする</t>
        </is>
      </c>
      <c r="I114" s="209" t="n"/>
      <c r="J114" s="209" t="n"/>
      <c r="K114" s="209" t="n"/>
      <c r="L114" s="210" t="n"/>
      <c r="M114" s="257" t="n"/>
    </row>
  </sheetData>
  <mergeCells count="19">
    <mergeCell ref="H30:L30"/>
    <mergeCell ref="H54:L54"/>
    <mergeCell ref="H112:L112"/>
    <mergeCell ref="H102:L102"/>
    <mergeCell ref="H113:L113"/>
    <mergeCell ref="H114:L114"/>
    <mergeCell ref="H6:L6"/>
    <mergeCell ref="H94:L94"/>
    <mergeCell ref="H110:L110"/>
    <mergeCell ref="H108:L108"/>
    <mergeCell ref="H109:L109"/>
    <mergeCell ref="H66:L66"/>
    <mergeCell ref="H80:L80"/>
    <mergeCell ref="B4:M4"/>
    <mergeCell ref="H111:L111"/>
    <mergeCell ref="B6:F6"/>
    <mergeCell ref="H42:L42"/>
    <mergeCell ref="H18:L18"/>
    <mergeCell ref="H107:L10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.4" customWidth="1" min="1" max="1"/>
    <col width="6" customWidth="1" min="2" max="2"/>
    <col width="12" customWidth="1" min="3" max="3"/>
    <col width="30" customWidth="1" min="4" max="4"/>
    <col width="3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97" t="inlineStr">
        <is>
          <t>2-3. 演算子を使いこなす ― 問題集（&amp; / # / .: :. / * ? ~ / " ' ^）</t>
        </is>
      </c>
    </row>
    <row r="3">
      <c r="B3" s="198" t="inlineStr">
        <is>
          <t>右の『解答欄』に自分で式を入れ、いちばん右の『解答例』で答え合わせをしてください。</t>
        </is>
      </c>
    </row>
    <row r="5">
      <c r="B5" s="199" t="inlineStr">
        <is>
          <t>▼ 演算子の早見</t>
        </is>
      </c>
    </row>
    <row r="6">
      <c r="B6" s="212" t="inlineStr">
        <is>
          <t>&amp;</t>
        </is>
      </c>
      <c r="C6" s="210" t="n"/>
      <c r="D6" s="202" t="inlineStr">
        <is>
          <t>文字・式の連結。条件式は "&gt;="&amp;B2 のように作る</t>
        </is>
      </c>
    </row>
    <row r="7">
      <c r="B7" s="212" t="inlineStr">
        <is>
          <t>#</t>
        </is>
      </c>
      <c r="C7" s="210" t="n"/>
      <c r="D7" s="202" t="inlineStr">
        <is>
          <t>スピル範囲演算子。左上セル＋# で こぼれ範囲全体</t>
        </is>
      </c>
    </row>
    <row r="8">
      <c r="B8" s="212" t="inlineStr">
        <is>
          <t>.: / :. / .:.</t>
        </is>
      </c>
      <c r="C8" s="210" t="n"/>
      <c r="D8" s="202" t="inlineStr">
        <is>
          <t>トリム参照。先頭/末尾/両側の空白行・列を切り詰め</t>
        </is>
      </c>
    </row>
    <row r="9">
      <c r="B9" s="212" t="inlineStr">
        <is>
          <t>* ? ~</t>
        </is>
      </c>
      <c r="C9" s="210" t="n"/>
      <c r="D9" s="202" t="inlineStr">
        <is>
          <t>ワイルドカード。任意文字列/1文字/エスケープ</t>
        </is>
      </c>
    </row>
    <row r="10">
      <c r="B10" s="212" t="inlineStr">
        <is>
          <t>" ' ^</t>
        </is>
      </c>
      <c r="C10" s="210" t="n"/>
      <c r="D10" s="202" t="inlineStr">
        <is>
          <t>文字列リテラル/文字列化・0落ち防止/べき乗</t>
        </is>
      </c>
    </row>
    <row r="13">
      <c r="B13" s="199" t="inlineStr">
        <is>
          <t>▼ 問題</t>
        </is>
      </c>
    </row>
    <row r="14">
      <c r="B14" s="200" t="inlineStr">
        <is>
          <t>No.</t>
        </is>
      </c>
      <c r="C14" s="200" t="inlineStr">
        <is>
          <t>ねらい</t>
        </is>
      </c>
      <c r="D14" s="208" t="inlineStr">
        <is>
          <t>問題</t>
        </is>
      </c>
      <c r="G14" s="211" t="inlineStr">
        <is>
          <t>解答欄</t>
        </is>
      </c>
      <c r="H14" s="210" t="n"/>
      <c r="I14" s="208" t="inlineStr">
        <is>
          <t>解答例</t>
        </is>
      </c>
      <c r="J14" s="210" t="n"/>
    </row>
    <row r="15">
      <c r="B15" s="201" t="inlineStr">
        <is>
          <t>Q1</t>
        </is>
      </c>
      <c r="C15" s="201" t="inlineStr">
        <is>
          <t>&amp;</t>
        </is>
      </c>
      <c r="D15" s="202" t="inlineStr">
        <is>
          <t>基準値がセルB2にある。C列売上のうち「B2以上」の合計をSUMIFで求める</t>
        </is>
      </c>
      <c r="G15" s="207" t="n"/>
      <c r="H15" s="210" t="n"/>
      <c r="I15" s="202" t="inlineStr">
        <is>
          <t>=SUMIF(C:C,"&gt;="&amp;B2)</t>
        </is>
      </c>
      <c r="J15" s="210" t="n"/>
    </row>
    <row r="16">
      <c r="B16" s="201" t="inlineStr">
        <is>
          <t>Q2</t>
        </is>
      </c>
      <c r="C16" s="201" t="inlineStr">
        <is>
          <t>&amp;</t>
        </is>
      </c>
      <c r="D16" s="202" t="inlineStr">
        <is>
          <t>姓A2と名B2を、間に半角スペースを入れて連結する</t>
        </is>
      </c>
      <c r="G16" s="207" t="n"/>
      <c r="H16" s="210" t="n"/>
      <c r="I16" s="202" t="inlineStr">
        <is>
          <t>=A2&amp;" "&amp;B2</t>
        </is>
      </c>
      <c r="J16" s="210" t="n"/>
    </row>
    <row r="17">
      <c r="B17" s="201" t="inlineStr">
        <is>
          <t>Q3</t>
        </is>
      </c>
      <c r="C17" s="201" t="inlineStr">
        <is>
          <t>&amp;</t>
        </is>
      </c>
      <c r="D17" s="202" t="inlineStr">
        <is>
          <t>D列の点数で「E1以上 E2未満」の件数をCOUNTIFSで数える</t>
        </is>
      </c>
      <c r="G17" s="207" t="n"/>
      <c r="H17" s="210" t="n"/>
      <c r="I17" s="202" t="inlineStr">
        <is>
          <t>=COUNTIFS(D:D,"&gt;="&amp;E1,D:D,"&lt;"&amp;E2)</t>
        </is>
      </c>
      <c r="J17" s="210" t="n"/>
    </row>
    <row r="18">
      <c r="B18" s="201" t="inlineStr">
        <is>
          <t>Q4</t>
        </is>
      </c>
      <c r="C18" s="201" t="inlineStr">
        <is>
          <t>#</t>
        </is>
      </c>
      <c r="D18" s="202" t="inlineStr">
        <is>
          <t>G2に =UNIQUE(A2:A1000) の結果。その件数を数える</t>
        </is>
      </c>
      <c r="G18" s="207" t="n"/>
      <c r="H18" s="210" t="n"/>
      <c r="I18" s="202" t="inlineStr">
        <is>
          <t>=COUNTA(G2#)</t>
        </is>
      </c>
      <c r="J18" s="210" t="n"/>
    </row>
    <row r="19">
      <c r="B19" s="201" t="inlineStr">
        <is>
          <t>Q5</t>
        </is>
      </c>
      <c r="C19" s="201" t="inlineStr">
        <is>
          <t>トリム</t>
        </is>
      </c>
      <c r="D19" s="202" t="inlineStr">
        <is>
          <t>A列(末尾に空白)の合計を、最後のデータまでで求める</t>
        </is>
      </c>
      <c r="G19" s="207" t="n"/>
      <c r="H19" s="210" t="n"/>
      <c r="I19" s="202" t="inlineStr">
        <is>
          <t>=SUM(A2:.A)</t>
        </is>
      </c>
      <c r="J19" s="210" t="n"/>
    </row>
    <row r="20">
      <c r="B20" s="201" t="inlineStr">
        <is>
          <t>Q6</t>
        </is>
      </c>
      <c r="C20" s="201" t="inlineStr">
        <is>
          <t>* ?</t>
        </is>
      </c>
      <c r="D20" s="202" t="inlineStr">
        <is>
          <t>A列に「ホテル」を含む行の、C列売上を合計する</t>
        </is>
      </c>
      <c r="G20" s="207" t="n"/>
      <c r="H20" s="210" t="n"/>
      <c r="I20" s="202" t="inlineStr">
        <is>
          <t>=SUMIF(A:A,"*ホテル*",C:C)</t>
        </is>
      </c>
      <c r="J20" s="210" t="n"/>
    </row>
    <row r="21">
      <c r="B21" s="201" t="inlineStr">
        <is>
          <t>Q7</t>
        </is>
      </c>
      <c r="C21" s="201" t="inlineStr">
        <is>
          <t>~</t>
        </is>
      </c>
      <c r="D21" s="202" t="inlineStr">
        <is>
          <t>A列で、文字どおり「?」で終わるセルの数を数える</t>
        </is>
      </c>
      <c r="G21" s="207" t="n"/>
      <c r="H21" s="210" t="n"/>
      <c r="I21" s="202" t="inlineStr">
        <is>
          <t>=COUNTIF(A:A,"*~?")</t>
        </is>
      </c>
      <c r="J21" s="210" t="n"/>
    </row>
    <row r="22">
      <c r="B22" s="201" t="inlineStr">
        <is>
          <t>Q8</t>
        </is>
      </c>
      <c r="C22" s="201" t="inlineStr">
        <is>
          <t>^</t>
        </is>
      </c>
      <c r="D22" s="202" t="inlineStr">
        <is>
          <t>セルB2の値の平方根を、べき乗演算子で求める</t>
        </is>
      </c>
      <c r="G22" s="207" t="n"/>
      <c r="H22" s="210" t="n"/>
      <c r="I22" s="202" t="inlineStr">
        <is>
          <t>=B2^0.5</t>
        </is>
      </c>
      <c r="J22" s="210" t="n"/>
    </row>
    <row r="23">
      <c r="B23" s="201" t="inlineStr">
        <is>
          <t>Q9</t>
        </is>
      </c>
      <c r="C23" s="201" t="inlineStr">
        <is>
          <t>"</t>
        </is>
      </c>
      <c r="D23" s="202" t="inlineStr">
        <is>
          <t>A1の中身を前後ダブルクオートで囲んだ文字列で表示する</t>
        </is>
      </c>
      <c r="G23" s="207" t="n"/>
      <c r="H23" s="210" t="n"/>
      <c r="I23" s="202" t="inlineStr">
        <is>
          <t>=""""&amp;A1&amp;""""</t>
        </is>
      </c>
      <c r="J23" s="210" t="n"/>
    </row>
  </sheetData>
  <mergeCells count="27">
    <mergeCell ref="G21:H21"/>
    <mergeCell ref="B7:C7"/>
    <mergeCell ref="I15:J15"/>
    <mergeCell ref="B13:D13"/>
    <mergeCell ref="G23:H23"/>
    <mergeCell ref="G17:H17"/>
    <mergeCell ref="I16:J16"/>
    <mergeCell ref="G19:H19"/>
    <mergeCell ref="I22:J22"/>
    <mergeCell ref="G18:H18"/>
    <mergeCell ref="B8:C8"/>
    <mergeCell ref="I18:J18"/>
    <mergeCell ref="I21:J21"/>
    <mergeCell ref="B5:D5"/>
    <mergeCell ref="G15:H15"/>
    <mergeCell ref="B10:C10"/>
    <mergeCell ref="G14:H14"/>
    <mergeCell ref="I23:J23"/>
    <mergeCell ref="I14:J14"/>
    <mergeCell ref="B9:C9"/>
    <mergeCell ref="I17:J17"/>
    <mergeCell ref="B6:C6"/>
    <mergeCell ref="G20:H20"/>
    <mergeCell ref="I20:J20"/>
    <mergeCell ref="G16:H16"/>
    <mergeCell ref="I19:J19"/>
    <mergeCell ref="G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8" customWidth="1" min="4" max="4"/>
    <col width="14" customWidth="1" min="5" max="5"/>
    <col width="10" customWidth="1" min="6" max="6"/>
  </cols>
  <sheetData>
    <row r="2" ht="19.5" customHeight="1">
      <c r="B2" s="64" t="inlineStr">
        <is>
          <t>2-5. PLシミュレーション ①Input（前提・青字が入力）</t>
        </is>
      </c>
    </row>
    <row r="3" ht="13.5" customHeight="1"/>
    <row r="4" ht="13.5" customHeight="1">
      <c r="D4" s="3" t="inlineStr">
        <is>
          <t>青字のセルだけを変更すれば、②計算・③Outputが自動で更新されます。</t>
        </is>
      </c>
    </row>
    <row r="5" ht="13.5" customHeight="1">
      <c r="D5" s="66" t="inlineStr">
        <is>
          <t>【売上ドライバー】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値</t>
        </is>
      </c>
      <c r="F7" s="68" t="inlineStr">
        <is>
          <t>単位</t>
        </is>
      </c>
    </row>
    <row r="8" ht="13.5" customHeight="1">
      <c r="D8" s="69" t="inlineStr">
        <is>
          <t>客室数</t>
        </is>
      </c>
      <c r="E8" s="76" t="n">
        <v>20</v>
      </c>
      <c r="F8" s="77" t="inlineStr">
        <is>
          <t>室</t>
        </is>
      </c>
    </row>
    <row r="9" ht="13.5" customHeight="1">
      <c r="D9" s="72" t="inlineStr">
        <is>
          <t>営業日数</t>
        </is>
      </c>
      <c r="E9" s="78" t="n">
        <v>365</v>
      </c>
      <c r="F9" s="79" t="inlineStr">
        <is>
          <t>日</t>
        </is>
      </c>
    </row>
    <row r="10" ht="13.5" customHeight="1">
      <c r="D10" s="72" t="inlineStr">
        <is>
          <t>稼働率</t>
        </is>
      </c>
      <c r="E10" s="213" t="n">
        <v>0.65</v>
      </c>
      <c r="F10" s="79" t="n"/>
    </row>
    <row r="11" ht="13.5" customHeight="1">
      <c r="D11" s="72" t="inlineStr">
        <is>
          <t>ADR（客室単価）</t>
        </is>
      </c>
      <c r="E11" s="78" t="n">
        <v>50000</v>
      </c>
      <c r="F11" s="79" t="inlineStr">
        <is>
          <t>円</t>
        </is>
      </c>
    </row>
    <row r="12" ht="13.5" customHeight="1">
      <c r="D12" s="72" t="inlineStr">
        <is>
          <t>宿泊人数/室</t>
        </is>
      </c>
      <c r="E12" s="214" t="n">
        <v>2</v>
      </c>
      <c r="F12" s="79" t="inlineStr">
        <is>
          <t>人</t>
        </is>
      </c>
    </row>
    <row r="13" ht="13.5" customHeight="1">
      <c r="D13" s="74" t="inlineStr">
        <is>
          <t>飲食単価/人</t>
        </is>
      </c>
      <c r="E13" s="82" t="n">
        <v>6000</v>
      </c>
      <c r="F13" s="83" t="inlineStr">
        <is>
          <t>円</t>
        </is>
      </c>
    </row>
    <row r="14" ht="13.5" customHeight="1"/>
    <row r="15" ht="13.5" customHeight="1"/>
    <row r="16" ht="13.5" customHeight="1"/>
    <row r="17" ht="13.5" customHeight="1">
      <c r="D17" s="97" t="inlineStr">
        <is>
          <t>【コストドライバー】</t>
        </is>
      </c>
      <c r="E17" s="67" t="n"/>
      <c r="F17" s="67" t="n"/>
    </row>
    <row r="18" ht="13.5" customHeight="1"/>
    <row r="19" ht="13.5" customHeight="1">
      <c r="D19" s="68" t="inlineStr">
        <is>
          <t>項目</t>
        </is>
      </c>
      <c r="E19" s="68" t="inlineStr">
        <is>
          <t>値</t>
        </is>
      </c>
      <c r="F19" s="68" t="inlineStr">
        <is>
          <t>単位</t>
        </is>
      </c>
    </row>
    <row r="20" ht="13.5" customHeight="1">
      <c r="D20" s="69" t="inlineStr">
        <is>
          <t>変動費率（対売上）</t>
        </is>
      </c>
      <c r="E20" s="215" t="n">
        <v>0.3</v>
      </c>
      <c r="F20" s="77" t="n"/>
    </row>
    <row r="21" ht="13.5" customHeight="1">
      <c r="D21" s="72" t="inlineStr">
        <is>
          <t>人件費（固定・年）</t>
        </is>
      </c>
      <c r="E21" s="78" t="n">
        <v>60000000</v>
      </c>
      <c r="F21" s="79" t="inlineStr">
        <is>
          <t>円</t>
        </is>
      </c>
    </row>
    <row r="22" ht="13.5" customHeight="1">
      <c r="D22" s="74" t="inlineStr">
        <is>
          <t>その他固定費（年）</t>
        </is>
      </c>
      <c r="E22" s="82" t="n">
        <v>48000000</v>
      </c>
      <c r="F22" s="83" t="inlineStr">
        <is>
          <t>円</t>
        </is>
      </c>
    </row>
    <row r="23" ht="13.5" customHeight="1"/>
    <row r="24" ht="13.5" customHeight="1">
      <c r="D24" s="3" t="inlineStr">
        <is>
          <t>※ 青字＝手入力の前提。黒字＝数式。緑字＝他シート参照（②③で使用）。</t>
        </is>
      </c>
    </row>
    <row r="25" ht="13.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D5" sqref="D5"/>
    </sheetView>
  </sheetViews>
  <sheetFormatPr baseColWidth="8" defaultRowHeight="13"/>
  <cols>
    <col width="2.36328125" customWidth="1" min="1" max="3"/>
    <col width="30" customWidth="1" min="4" max="4"/>
    <col width="16" customWidth="1" min="5" max="5"/>
    <col width="34" customWidth="1" min="6" max="6"/>
  </cols>
  <sheetData>
    <row r="2" ht="19.5" customHeight="1">
      <c r="B2" s="64" t="inlineStr">
        <is>
          <t>2-5. PLシミュレーション ②計算（Inputを参照して積み上げ）</t>
        </is>
      </c>
    </row>
    <row r="3" ht="13.5" customHeight="1"/>
    <row r="4" ht="13.5" customHeight="1">
      <c r="D4" s="3" t="inlineStr">
        <is>
          <t>重要！：原則、青字、緑字、黒字を1セルにごっちゃにして計算しない。</t>
        </is>
      </c>
    </row>
    <row r="5" ht="13.5" customHeight="1">
      <c r="D5" s="66" t="inlineStr">
        <is>
          <t>客室・飲食売上の積み上げ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金額(円)</t>
        </is>
      </c>
      <c r="F7" s="68" t="inlineStr">
        <is>
          <t>計算の内容</t>
        </is>
      </c>
    </row>
    <row r="8" ht="13.5" customHeight="1">
      <c r="D8" s="101" t="inlineStr">
        <is>
          <t>客室数</t>
        </is>
      </c>
      <c r="E8" s="100">
        <f>'2-5_PL①Input'!E8</f>
        <v/>
      </c>
      <c r="F8" s="101" t="inlineStr">
        <is>
          <t>Inputシートより</t>
        </is>
      </c>
    </row>
    <row r="9" ht="13.5" customHeight="1">
      <c r="D9" s="104" t="inlineStr">
        <is>
          <t>営業日数</t>
        </is>
      </c>
      <c r="E9" s="105">
        <f>'2-5_PL①Input'!E9</f>
        <v/>
      </c>
      <c r="F9" s="104" t="inlineStr">
        <is>
          <t>Inputシートより</t>
        </is>
      </c>
    </row>
    <row r="10" ht="13.5" customHeight="1">
      <c r="D10" s="106" t="inlineStr">
        <is>
          <t>稼働率</t>
        </is>
      </c>
      <c r="E10" s="216">
        <f>'2-5_PL①Input'!E10</f>
        <v/>
      </c>
      <c r="F10" s="106" t="inlineStr">
        <is>
          <t>Inputシートより</t>
        </is>
      </c>
    </row>
    <row r="11" ht="13.5" customHeight="1">
      <c r="D11" s="112" t="inlineStr">
        <is>
          <t>稼働室数（室・年）</t>
        </is>
      </c>
      <c r="E11" s="119">
        <f>E8*E9*E10</f>
        <v/>
      </c>
      <c r="F11" s="113" t="inlineStr">
        <is>
          <t>客室数×営業日数×稼働率</t>
        </is>
      </c>
    </row>
    <row r="12" ht="13.5" customHeight="1"/>
    <row r="13" ht="13.5" customHeight="1">
      <c r="D13" s="115">
        <f>'2-5_PL①Input'!$D$11</f>
        <v/>
      </c>
      <c r="E13" s="116">
        <f>'2-5_PL①Input'!E11</f>
        <v/>
      </c>
      <c r="F13" s="71" t="inlineStr">
        <is>
          <t>Inputシートより</t>
        </is>
      </c>
    </row>
    <row r="14" ht="13.5" customHeight="1">
      <c r="D14" s="109" t="inlineStr">
        <is>
          <t>客室売上</t>
        </is>
      </c>
      <c r="E14" s="120">
        <f>E11*E13</f>
        <v/>
      </c>
      <c r="F14" s="109" t="inlineStr">
        <is>
          <t>販売室数×ADR</t>
        </is>
      </c>
    </row>
    <row r="15" ht="13.5" customHeight="1">
      <c r="D15" s="109" t="n"/>
      <c r="E15" s="120" t="n"/>
      <c r="F15" s="109" t="n"/>
    </row>
    <row r="16" ht="13.5" customHeight="1">
      <c r="D16" s="102" t="inlineStr">
        <is>
          <t>宿泊人数/室</t>
        </is>
      </c>
      <c r="E16" s="217">
        <f>'2-5_PL①Input'!E12</f>
        <v/>
      </c>
      <c r="F16" s="69" t="inlineStr">
        <is>
          <t>Inputシートより</t>
        </is>
      </c>
    </row>
    <row r="17" ht="13.5" customHeight="1">
      <c r="D17" s="117">
        <f>'2-5_PL①Input'!$D$13</f>
        <v/>
      </c>
      <c r="E17" s="118">
        <f>'2-5_PL①Input'!E13</f>
        <v/>
      </c>
      <c r="F17" s="74" t="inlineStr">
        <is>
          <t>Inputシートより</t>
        </is>
      </c>
    </row>
    <row r="18" ht="13.5" customHeight="1">
      <c r="D18" s="109" t="inlineStr">
        <is>
          <t>飲食売上</t>
        </is>
      </c>
      <c r="E18" s="120">
        <f>E11*E16*E17</f>
        <v/>
      </c>
      <c r="F18" s="7" t="inlineStr">
        <is>
          <t>稼働室数x宿泊人数/室×飲食単価/人</t>
        </is>
      </c>
    </row>
    <row r="19" ht="13.5" customHeight="1">
      <c r="D19" s="109" t="n"/>
      <c r="E19" s="120" t="n"/>
      <c r="F19" s="109" t="n"/>
    </row>
    <row r="20" ht="13.5" customHeight="1">
      <c r="D20" s="127" t="inlineStr">
        <is>
          <t>売上高 計</t>
        </is>
      </c>
      <c r="E20" s="128">
        <f>E14+E18</f>
        <v/>
      </c>
      <c r="F20" s="129" t="inlineStr">
        <is>
          <t>客室売上＋飲食売上</t>
        </is>
      </c>
    </row>
    <row r="21" ht="13.5" customHeight="1">
      <c r="D21" s="109" t="n"/>
      <c r="E21" s="109" t="n"/>
      <c r="F21" s="109" t="n"/>
    </row>
    <row r="22" ht="13.5" customHeight="1">
      <c r="D22" s="7" t="inlineStr">
        <is>
          <t>変動費率</t>
        </is>
      </c>
      <c r="E22" s="218">
        <f>'2-5_PL①Input'!E20</f>
        <v/>
      </c>
      <c r="F22" s="109" t="inlineStr">
        <is>
          <t>Inputシートより</t>
        </is>
      </c>
    </row>
    <row r="23" ht="13.5" customHeight="1">
      <c r="D23" s="109" t="inlineStr">
        <is>
          <t>変動費</t>
        </is>
      </c>
      <c r="E23" s="120">
        <f>E20*E22</f>
        <v/>
      </c>
      <c r="F23" s="109" t="inlineStr">
        <is>
          <t>売上高×変動費率</t>
        </is>
      </c>
    </row>
    <row r="24" ht="13.5" customHeight="1">
      <c r="D24" s="130" t="inlineStr">
        <is>
          <t>限界利益</t>
        </is>
      </c>
      <c r="E24" s="131">
        <f>E20-E23</f>
        <v/>
      </c>
      <c r="F24" s="132" t="inlineStr">
        <is>
          <t>売上高−変動費</t>
        </is>
      </c>
    </row>
    <row r="25" ht="13.5" customHeight="1">
      <c r="D25" s="109" t="n"/>
      <c r="E25" s="124" t="n"/>
      <c r="F25" s="109" t="n"/>
    </row>
    <row r="26" ht="13.5" customHeight="1">
      <c r="D26" s="69">
        <f>'2-5_PL①Input'!D21</f>
        <v/>
      </c>
      <c r="E26" s="100">
        <f>'2-5_PL①Input'!E21</f>
        <v/>
      </c>
      <c r="F26" s="69" t="n"/>
    </row>
    <row r="27" ht="13.5" customHeight="1">
      <c r="D27" s="74">
        <f>'2-5_PL①Input'!D22</f>
        <v/>
      </c>
      <c r="E27" s="126">
        <f>'2-5_PL①Input'!E22</f>
        <v/>
      </c>
      <c r="F27" s="74" t="n"/>
    </row>
    <row r="28" ht="13.5" customHeight="1">
      <c r="D28" s="135" t="inlineStr">
        <is>
          <t>固定費 計</t>
        </is>
      </c>
      <c r="E28" s="136">
        <f>SUM(E26:E27)</f>
        <v/>
      </c>
      <c r="F28" s="137" t="inlineStr">
        <is>
          <t>人件費＋その他固定費</t>
        </is>
      </c>
    </row>
    <row r="29" ht="13.5" customHeight="1">
      <c r="D29" s="109" t="n"/>
      <c r="E29" s="120" t="n"/>
      <c r="F29" s="109" t="n"/>
    </row>
    <row r="30" ht="13.5" customHeight="1">
      <c r="D30" s="127" t="inlineStr">
        <is>
          <t>営業利益</t>
        </is>
      </c>
      <c r="E30" s="133">
        <f>E24-E28</f>
        <v/>
      </c>
      <c r="F30" s="134" t="inlineStr">
        <is>
          <t>限界利益−固定費</t>
        </is>
      </c>
    </row>
    <row r="31" ht="13.5" customHeight="1"/>
    <row r="32" ht="13.5" customHeight="1">
      <c r="D32" s="3" t="inlineStr">
        <is>
          <t>緑字＝①Inputへの参照。黄色＝主要な中間・最終アウトプット。</t>
        </is>
      </c>
    </row>
    <row r="33" ht="13.5" customHeight="1"/>
    <row r="34" ht="13.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3.453125" customWidth="1" min="4" max="4"/>
    <col width="18" customWidth="1" min="5" max="5"/>
    <col width="12" customWidth="1" min="6" max="6"/>
  </cols>
  <sheetData>
    <row r="2" ht="19.5" customHeight="1">
      <c r="B2" s="64" t="inlineStr">
        <is>
          <t>2-5. PLシミュレーション ③Output（PLサマリ）</t>
        </is>
      </c>
    </row>
    <row r="3" ht="13.5" customHeight="1"/>
    <row r="4" ht="13.5" customHeight="1">
      <c r="D4" s="3" t="inlineStr">
        <is>
          <t>PPTに張り付けるサマリなどは、数字の色を付けません。</t>
        </is>
      </c>
    </row>
    <row r="5" ht="13.5" customHeight="1">
      <c r="D5" s="66" t="inlineStr">
        <is>
          <t>年間 損益計算書（サマリ）</t>
        </is>
      </c>
      <c r="E5" s="67" t="n"/>
      <c r="F5" s="67" t="n"/>
    </row>
    <row r="6" ht="13.5" customHeight="1">
      <c r="D6" s="145" t="inlineStr">
        <is>
          <t>単位：　百万円</t>
        </is>
      </c>
    </row>
    <row r="7" ht="13.5" customHeight="1"/>
    <row r="8" ht="13.5" customHeight="1">
      <c r="D8" s="68" t="inlineStr">
        <is>
          <t>項目</t>
        </is>
      </c>
      <c r="E8" s="138" t="inlineStr">
        <is>
          <t>金額</t>
        </is>
      </c>
      <c r="F8" s="138" t="inlineStr">
        <is>
          <t>対売上%</t>
        </is>
      </c>
    </row>
    <row r="9" ht="13.5" customHeight="1">
      <c r="D9" s="113" t="inlineStr">
        <is>
          <t>売上高</t>
        </is>
      </c>
      <c r="E9" s="219">
        <f>'2-5_PL②計算'!E20/10^6</f>
        <v/>
      </c>
      <c r="F9" s="220">
        <f>E9/$E$9</f>
        <v/>
      </c>
    </row>
    <row r="10" ht="13.5" customHeight="1"/>
    <row r="11" ht="13.5" customHeight="1">
      <c r="D11" s="114" t="inlineStr">
        <is>
          <t>変動費</t>
        </is>
      </c>
      <c r="E11" s="221">
        <f>'2-5_PL②計算'!E23/10^6</f>
        <v/>
      </c>
      <c r="F11" s="222">
        <f>-E11/$E$9</f>
        <v/>
      </c>
    </row>
    <row r="12" ht="13.5" customHeight="1">
      <c r="D12" s="112" t="inlineStr">
        <is>
          <t>限界利益</t>
        </is>
      </c>
      <c r="E12" s="219">
        <f>E9-E11</f>
        <v/>
      </c>
      <c r="F12" s="223">
        <f>E12/$E$9</f>
        <v/>
      </c>
    </row>
    <row r="13" ht="13.5" customHeight="1"/>
    <row r="14" ht="13.5" customHeight="1">
      <c r="D14" s="114" t="inlineStr">
        <is>
          <t>固定費</t>
        </is>
      </c>
      <c r="E14" s="221">
        <f>'2-5_PL②計算'!E28/10^6</f>
        <v/>
      </c>
      <c r="F14" s="222">
        <f>-E14/$E$9</f>
        <v/>
      </c>
    </row>
    <row r="15" ht="13.5" customHeight="1">
      <c r="D15" s="127" t="inlineStr">
        <is>
          <t>営業利益</t>
        </is>
      </c>
      <c r="E15" s="224">
        <f>E12-E14</f>
        <v/>
      </c>
      <c r="F15" s="225">
        <f>E15/$E$9</f>
        <v/>
      </c>
    </row>
    <row r="16" ht="13.5" customHeight="1"/>
    <row r="17" ht="13.5" customHeight="1">
      <c r="D17" s="3" t="inlineStr">
        <is>
          <t>Input①の青字（稼働率・ADR等）を変えると、この③まで一気に更新されます。</t>
        </is>
      </c>
    </row>
    <row r="18" ht="13.5" customHeight="1"/>
    <row r="19" ht="13.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E7" sqref="E7"/>
    </sheetView>
  </sheetViews>
  <sheetFormatPr baseColWidth="8" defaultRowHeight="13"/>
  <cols>
    <col width="2.36328125" customWidth="1" min="1" max="3"/>
    <col width="18" customWidth="1" min="4" max="4"/>
    <col width="40" customWidth="1" min="5" max="5"/>
    <col width="16" customWidth="1" min="6" max="6"/>
  </cols>
  <sheetData>
    <row r="2" ht="19.5" customHeight="1">
      <c r="B2" s="64" t="inlineStr">
        <is>
          <t>00_Index ― 目次・ファイル概要</t>
        </is>
      </c>
    </row>
    <row r="3" ht="13.5" customHeight="1"/>
    <row r="4" ht="13.5" customHeight="1">
      <c r="D4" s="3" t="inlineStr">
        <is>
          <t>このファイルの目的：施設別の月次売上を、元データから集計してKPIを出力する実績集計ブック（入力→計算→出力→検証を分離）。</t>
        </is>
      </c>
    </row>
    <row r="5" ht="13.5" customHeight="1">
      <c r="D5" s="66" t="inlineStr">
        <is>
          <t>更新日 / 前提の要約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内容</t>
        </is>
      </c>
      <c r="F7" s="68" t="inlineStr">
        <is>
          <t>更新日</t>
        </is>
      </c>
    </row>
    <row r="8" ht="13.5" customHeight="1">
      <c r="D8" s="69" t="inlineStr">
        <is>
          <t>対象期間</t>
        </is>
      </c>
      <c r="E8" s="69" t="inlineStr">
        <is>
          <t>2026年7月〜8月</t>
        </is>
      </c>
      <c r="F8" s="77" t="inlineStr">
        <is>
          <t>2026-07-20</t>
        </is>
      </c>
    </row>
    <row r="9" ht="13.5" customHeight="1">
      <c r="D9" s="72" t="inlineStr">
        <is>
          <t>消費税率</t>
        </is>
      </c>
      <c r="E9" s="72" t="inlineStr">
        <is>
          <t>10%（税抜集計）</t>
        </is>
      </c>
      <c r="F9" s="79" t="inlineStr">
        <is>
          <t>2026-07-20</t>
        </is>
      </c>
    </row>
    <row r="10" ht="13.5" customHeight="1">
      <c r="D10" s="74" t="inlineStr">
        <is>
          <t>対象施設</t>
        </is>
      </c>
      <c r="E10" s="74" t="inlineStr">
        <is>
          <t>西伊豆・熱海（Masterシート参照）</t>
        </is>
      </c>
      <c r="F10" s="83" t="inlineStr">
        <is>
          <t>2026-07-20</t>
        </is>
      </c>
    </row>
    <row r="11" ht="13.5" customHeight="1"/>
    <row r="12" ht="13.5" customHeight="1"/>
    <row r="13" ht="13.5" customHeight="1"/>
    <row r="14" ht="13.5" customHeight="1">
      <c r="D14" s="66" t="inlineStr">
        <is>
          <t>シート構成</t>
        </is>
      </c>
      <c r="E14" s="67" t="n"/>
      <c r="F14" s="67" t="n"/>
    </row>
    <row r="15" ht="13.5" customHeight="1"/>
    <row r="16" ht="13.5" customHeight="1">
      <c r="D16" s="68" t="inlineStr">
        <is>
          <t>シート</t>
        </is>
      </c>
      <c r="E16" s="68" t="inlineStr">
        <is>
          <t>役割</t>
        </is>
      </c>
      <c r="F16" s="68" t="inlineStr">
        <is>
          <t>区分</t>
        </is>
      </c>
    </row>
    <row r="17" ht="13.5" customHeight="1">
      <c r="D17" s="69" t="inlineStr">
        <is>
          <t>00_Index</t>
        </is>
      </c>
      <c r="E17" s="69" t="inlineStr">
        <is>
          <t>目次・目的・更新日・前提の要約</t>
        </is>
      </c>
      <c r="F17" s="77" t="inlineStr">
        <is>
          <t>案内</t>
        </is>
      </c>
    </row>
    <row r="18" ht="13.5" customHeight="1">
      <c r="D18" s="72" t="inlineStr">
        <is>
          <t>01_Assumption</t>
        </is>
      </c>
      <c r="E18" s="72" t="inlineStr">
        <is>
          <t>前提条件・置き値（青字入力を集約）</t>
        </is>
      </c>
      <c r="F18" s="79" t="inlineStr">
        <is>
          <t>入力</t>
        </is>
      </c>
    </row>
    <row r="19" ht="13.5" customHeight="1">
      <c r="D19" s="72" t="inlineStr">
        <is>
          <t>02_RawData</t>
        </is>
      </c>
      <c r="E19" s="72" t="inlineStr">
        <is>
          <t>加工前の元データ（触らない）</t>
        </is>
      </c>
      <c r="F19" s="79" t="inlineStr">
        <is>
          <t>元データ</t>
        </is>
      </c>
    </row>
    <row r="20" ht="13.5" customHeight="1">
      <c r="D20" s="72" t="inlineStr">
        <is>
          <t>03_Master</t>
        </is>
      </c>
      <c r="E20" s="72" t="inlineStr">
        <is>
          <t>施設・OTAなどのマスタ</t>
        </is>
      </c>
      <c r="F20" s="79" t="inlineStr">
        <is>
          <t>マスタ</t>
        </is>
      </c>
    </row>
    <row r="21" ht="13.5" customHeight="1">
      <c r="D21" s="72" t="inlineStr">
        <is>
          <t>04_Calculation</t>
        </is>
      </c>
      <c r="E21" s="72" t="inlineStr">
        <is>
          <t>集計・計算ロジック</t>
        </is>
      </c>
      <c r="F21" s="79" t="inlineStr">
        <is>
          <t>計算</t>
        </is>
      </c>
    </row>
    <row r="22" ht="13.5" customHeight="1">
      <c r="D22" s="72" t="inlineStr">
        <is>
          <t>05_Output</t>
        </is>
      </c>
      <c r="E22" s="72" t="inlineStr">
        <is>
          <t>結果表・KPI</t>
        </is>
      </c>
      <c r="F22" s="79" t="inlineStr">
        <is>
          <t>出力</t>
        </is>
      </c>
    </row>
    <row r="23" ht="13.5" customHeight="1">
      <c r="D23" s="74" t="inlineStr">
        <is>
          <t>06_Check</t>
        </is>
      </c>
      <c r="E23" s="74" t="inlineStr">
        <is>
          <t>エラーチェック・整合性確認</t>
        </is>
      </c>
      <c r="F23" s="83" t="inlineStr">
        <is>
          <t>検証</t>
        </is>
      </c>
    </row>
    <row r="24" ht="13.5" customHeight="1"/>
    <row r="25" ht="13.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5.36328125" bestFit="1" customWidth="1" min="4" max="4"/>
    <col width="14" customWidth="1" min="5" max="5"/>
    <col width="10" customWidth="1" min="6" max="6"/>
  </cols>
  <sheetData>
    <row r="2" ht="19.5" customHeight="1">
      <c r="B2" s="64" t="inlineStr">
        <is>
          <t>01_Assumption ― 前提条件（青字が入力）</t>
        </is>
      </c>
    </row>
    <row r="3" ht="13.5" customHeight="1"/>
    <row r="4" ht="13.5" customHeight="1"/>
    <row r="5" ht="13.5" customHeight="1">
      <c r="D5" s="66" t="inlineStr">
        <is>
          <t>前提・置き値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値</t>
        </is>
      </c>
      <c r="F7" s="68" t="inlineStr">
        <is>
          <t>単位</t>
        </is>
      </c>
    </row>
    <row r="8" ht="13.5" customHeight="1">
      <c r="D8" s="109" t="inlineStr">
        <is>
          <t>消費税率</t>
        </is>
      </c>
      <c r="E8" s="226" t="n">
        <v>0.1</v>
      </c>
      <c r="F8" s="68" t="n"/>
    </row>
    <row r="9" ht="13.5" customHeight="1">
      <c r="D9" s="109" t="inlineStr">
        <is>
          <t>集計対象月・開始</t>
        </is>
      </c>
      <c r="E9" s="166" t="n">
        <v>7</v>
      </c>
      <c r="F9" s="68" t="inlineStr">
        <is>
          <t>月</t>
        </is>
      </c>
    </row>
    <row r="10" ht="13.5" customHeight="1">
      <c r="D10" s="109" t="inlineStr">
        <is>
          <t>集計対象月・終了</t>
        </is>
      </c>
      <c r="E10" s="166" t="n">
        <v>8</v>
      </c>
      <c r="F10" s="68" t="inlineStr">
        <is>
          <t>月</t>
        </is>
      </c>
    </row>
    <row r="11" ht="13.5" customHeight="1">
      <c r="D11" s="109" t="inlineStr">
        <is>
          <t>目標稼働率</t>
        </is>
      </c>
      <c r="E11" s="226" t="n">
        <v>0.7</v>
      </c>
      <c r="F11" s="68" t="n"/>
    </row>
    <row r="12" ht="13.5" customHeight="1"/>
    <row r="13" ht="13.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selection activeCell="D4" sqref="D4"/>
    </sheetView>
  </sheetViews>
  <sheetFormatPr baseColWidth="8" defaultRowHeight="13"/>
  <cols>
    <col width="2.36328125" customWidth="1" min="1" max="3"/>
    <col width="10" customWidth="1" min="4" max="5"/>
    <col width="7" customWidth="1" min="6" max="6"/>
    <col width="14" customWidth="1" min="7" max="7"/>
    <col width="9" customWidth="1" min="8" max="8"/>
    <col width="14" customWidth="1" min="9" max="9"/>
  </cols>
  <sheetData>
    <row r="2" ht="19.5" customHeight="1">
      <c r="B2" s="64" t="inlineStr">
        <is>
          <t>02_RawData ― 元データ（加工しない）</t>
        </is>
      </c>
    </row>
    <row r="3" ht="13.5" customHeight="1"/>
    <row r="4" ht="13.5" customHeight="1">
      <c r="D4" s="3" t="inlineStr">
        <is>
          <t>このシートは元データ。数式や加工を入れず、そのまま保持する。</t>
        </is>
      </c>
    </row>
    <row r="5" ht="13.5" customHeight="1">
      <c r="D5" s="66" t="inlineStr">
        <is>
          <t>元データ（予約明細）</t>
        </is>
      </c>
      <c r="E5" s="67" t="n"/>
      <c r="F5" s="67" t="n"/>
      <c r="G5" s="67" t="n"/>
      <c r="H5" s="67" t="n"/>
      <c r="I5" s="67" t="n"/>
    </row>
    <row r="6" ht="13.5" customHeight="1"/>
    <row r="7" ht="13.5" customHeight="1">
      <c r="D7" s="148" t="inlineStr">
        <is>
          <t>予約ID</t>
        </is>
      </c>
      <c r="E7" s="148" t="inlineStr">
        <is>
          <t>施設</t>
        </is>
      </c>
      <c r="F7" s="148" t="inlineStr">
        <is>
          <t>月</t>
        </is>
      </c>
      <c r="G7" s="148" t="inlineStr">
        <is>
          <t>客室タイプ</t>
        </is>
      </c>
      <c r="H7" s="148" t="inlineStr">
        <is>
          <t>泊数</t>
        </is>
      </c>
      <c r="I7" s="148" t="inlineStr">
        <is>
          <t>売上税抜(円)</t>
        </is>
      </c>
    </row>
    <row r="8" ht="13.5" customHeight="1">
      <c r="D8" s="148" t="inlineStr">
        <is>
          <t>R001</t>
        </is>
      </c>
      <c r="E8" s="148" t="inlineStr">
        <is>
          <t>西伊豆</t>
        </is>
      </c>
      <c r="F8" s="148" t="n">
        <v>7</v>
      </c>
      <c r="G8" s="148" t="inlineStr">
        <is>
          <t>スイート</t>
        </is>
      </c>
      <c r="H8" s="148" t="n">
        <v>2</v>
      </c>
      <c r="I8" s="148" t="n">
        <v>160000</v>
      </c>
    </row>
    <row r="9" ht="13.5" customHeight="1">
      <c r="D9" s="148" t="inlineStr">
        <is>
          <t>R002</t>
        </is>
      </c>
      <c r="E9" s="148" t="inlineStr">
        <is>
          <t>西伊豆</t>
        </is>
      </c>
      <c r="F9" s="148" t="n">
        <v>7</v>
      </c>
      <c r="G9" s="148" t="inlineStr">
        <is>
          <t>スタンダード</t>
        </is>
      </c>
      <c r="H9" s="148" t="n">
        <v>3</v>
      </c>
      <c r="I9" s="148" t="n">
        <v>108000</v>
      </c>
    </row>
    <row r="10" ht="13.5" customHeight="1">
      <c r="D10" s="148" t="inlineStr">
        <is>
          <t>R003</t>
        </is>
      </c>
      <c r="E10" s="148" t="inlineStr">
        <is>
          <t>熱海</t>
        </is>
      </c>
      <c r="F10" s="148" t="n">
        <v>7</v>
      </c>
      <c r="G10" s="148" t="inlineStr">
        <is>
          <t>スタンダード</t>
        </is>
      </c>
      <c r="H10" s="148" t="n">
        <v>2</v>
      </c>
      <c r="I10" s="148" t="n">
        <v>72000</v>
      </c>
    </row>
    <row r="11" ht="13.5" customHeight="1">
      <c r="D11" s="148" t="inlineStr">
        <is>
          <t>R004</t>
        </is>
      </c>
      <c r="E11" s="148" t="inlineStr">
        <is>
          <t>西伊豆</t>
        </is>
      </c>
      <c r="F11" s="148" t="n">
        <v>8</v>
      </c>
      <c r="G11" s="148" t="inlineStr">
        <is>
          <t>スイート</t>
        </is>
      </c>
      <c r="H11" s="148" t="n">
        <v>2</v>
      </c>
      <c r="I11" s="148" t="n">
        <v>180000</v>
      </c>
    </row>
    <row r="12" ht="13.5" customHeight="1">
      <c r="D12" s="148" t="inlineStr">
        <is>
          <t>R005</t>
        </is>
      </c>
      <c r="E12" s="148" t="inlineStr">
        <is>
          <t>熱海</t>
        </is>
      </c>
      <c r="F12" s="148" t="n">
        <v>8</v>
      </c>
      <c r="G12" s="148" t="inlineStr">
        <is>
          <t>スイート</t>
        </is>
      </c>
      <c r="H12" s="148" t="n">
        <v>1</v>
      </c>
      <c r="I12" s="148" t="n">
        <v>95000</v>
      </c>
    </row>
    <row r="13" ht="13.5" customHeight="1">
      <c r="D13" s="148" t="inlineStr">
        <is>
          <t>R006</t>
        </is>
      </c>
      <c r="E13" s="148" t="inlineStr">
        <is>
          <t>西伊豆</t>
        </is>
      </c>
      <c r="F13" s="148" t="n">
        <v>7</v>
      </c>
      <c r="G13" s="148" t="inlineStr">
        <is>
          <t>スタンダード</t>
        </is>
      </c>
      <c r="H13" s="148" t="n">
        <v>1</v>
      </c>
      <c r="I13" s="148" t="n">
        <v>36000</v>
      </c>
    </row>
    <row r="14" ht="13.5" customHeight="1">
      <c r="D14" s="148" t="inlineStr">
        <is>
          <t>R007</t>
        </is>
      </c>
      <c r="E14" s="148" t="inlineStr">
        <is>
          <t>熱海</t>
        </is>
      </c>
      <c r="F14" s="148" t="n">
        <v>8</v>
      </c>
      <c r="G14" s="148" t="inlineStr">
        <is>
          <t>スタンダード</t>
        </is>
      </c>
      <c r="H14" s="148" t="n">
        <v>4</v>
      </c>
      <c r="I14" s="148" t="n">
        <v>152000</v>
      </c>
    </row>
    <row r="15" ht="13.5" customHeight="1">
      <c r="D15" s="148" t="inlineStr">
        <is>
          <t>R008</t>
        </is>
      </c>
      <c r="E15" s="148" t="inlineStr">
        <is>
          <t>西伊豆</t>
        </is>
      </c>
      <c r="F15" s="148" t="n">
        <v>8</v>
      </c>
      <c r="G15" s="148" t="inlineStr">
        <is>
          <t>スタンダード</t>
        </is>
      </c>
      <c r="H15" s="148" t="n">
        <v>2</v>
      </c>
      <c r="I15" s="148" t="n">
        <v>74000</v>
      </c>
    </row>
    <row r="16" ht="13.5" customHeight="1">
      <c r="D16" s="148" t="inlineStr">
        <is>
          <t>R009</t>
        </is>
      </c>
      <c r="E16" s="148" t="inlineStr">
        <is>
          <t>熱海</t>
        </is>
      </c>
      <c r="F16" s="148" t="n">
        <v>7</v>
      </c>
      <c r="G16" s="148" t="inlineStr">
        <is>
          <t>スイート</t>
        </is>
      </c>
      <c r="H16" s="148" t="n">
        <v>1</v>
      </c>
      <c r="I16" s="148" t="n">
        <v>92000</v>
      </c>
    </row>
    <row r="17" ht="13.5" customHeight="1">
      <c r="D17" s="148" t="inlineStr">
        <is>
          <t>R010</t>
        </is>
      </c>
      <c r="E17" s="148" t="inlineStr">
        <is>
          <t>西伊豆</t>
        </is>
      </c>
      <c r="F17" s="148" t="n">
        <v>8</v>
      </c>
      <c r="G17" s="148" t="inlineStr">
        <is>
          <t>スイート</t>
        </is>
      </c>
      <c r="H17" s="148" t="n">
        <v>3</v>
      </c>
      <c r="I17" s="148" t="n">
        <v>270000</v>
      </c>
    </row>
    <row r="18" ht="13.5" customHeight="1"/>
    <row r="19" ht="13.5" customHeight="1"/>
    <row r="20" ht="13.5" customHeight="1"/>
    <row r="21" ht="13.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2" customWidth="1" min="4" max="5"/>
    <col width="10" customWidth="1" min="6" max="6"/>
  </cols>
  <sheetData>
    <row r="2" ht="19.5" customHeight="1">
      <c r="B2" s="64" t="inlineStr">
        <is>
          <t>03_Master ― マスタ</t>
        </is>
      </c>
    </row>
    <row r="3" ht="13.5" customHeight="1"/>
    <row r="4" ht="13.5" customHeight="1">
      <c r="D4" s="3" t="n"/>
    </row>
    <row r="5" ht="13.5" customHeight="1">
      <c r="D5" s="66" t="inlineStr">
        <is>
          <t>施設マスタ</t>
        </is>
      </c>
      <c r="E5" s="67" t="n"/>
      <c r="F5" s="67" t="n"/>
    </row>
    <row r="6" ht="13.5" customHeight="1"/>
    <row r="7" ht="13.5" customHeight="1">
      <c r="D7" s="68" t="inlineStr">
        <is>
          <t>施設</t>
        </is>
      </c>
      <c r="E7" s="68" t="inlineStr">
        <is>
          <t>客室数(室)</t>
        </is>
      </c>
      <c r="F7" s="68" t="inlineStr">
        <is>
          <t>エリア</t>
        </is>
      </c>
    </row>
    <row r="8" ht="13.5" customHeight="1">
      <c r="D8" s="162" t="inlineStr">
        <is>
          <t>西伊豆</t>
        </is>
      </c>
      <c r="E8" s="163" t="n">
        <v>20</v>
      </c>
      <c r="F8" s="164" t="inlineStr">
        <is>
          <t>静岡</t>
        </is>
      </c>
    </row>
    <row r="9" ht="13.5" customHeight="1">
      <c r="D9" s="162" t="inlineStr">
        <is>
          <t>熱海</t>
        </is>
      </c>
      <c r="E9" s="163" t="n">
        <v>15</v>
      </c>
      <c r="F9" s="164" t="inlineStr">
        <is>
          <t>静岡</t>
        </is>
      </c>
    </row>
    <row r="10" ht="13.5" customHeight="1">
      <c r="D10" s="162" t="n"/>
      <c r="E10" s="163" t="n"/>
      <c r="F10" s="164" t="n"/>
    </row>
    <row r="11" ht="13.5" customHeight="1">
      <c r="D11" s="162" t="n"/>
      <c r="E11" s="163" t="n"/>
      <c r="F11" s="164" t="n"/>
    </row>
    <row r="12" ht="13.5" customHeight="1">
      <c r="D12" s="162" t="n"/>
      <c r="E12" s="163" t="n"/>
      <c r="F12" s="164" t="n"/>
    </row>
    <row r="13" ht="13.5" customHeight="1">
      <c r="D13" s="162" t="n"/>
      <c r="E13" s="163" t="n"/>
      <c r="F13" s="16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F8" sqref="F8"/>
    </sheetView>
  </sheetViews>
  <sheetFormatPr baseColWidth="8" defaultRowHeight="13"/>
  <cols>
    <col width="2.36328125" customWidth="1" min="1" max="3"/>
    <col width="12" customWidth="1" min="4" max="4"/>
    <col width="14" customWidth="1" min="5" max="6"/>
    <col width="12" customWidth="1" min="7" max="7"/>
    <col width="14" customWidth="1" min="8" max="8"/>
  </cols>
  <sheetData>
    <row r="2" ht="19.5" customHeight="1">
      <c r="B2" s="64" t="inlineStr">
        <is>
          <t>04_Calculation ― 集計（RawData/Masterを参照）</t>
        </is>
      </c>
    </row>
    <row r="3" ht="13.5" customHeight="1"/>
    <row r="4" ht="13.5" customHeight="1"/>
    <row r="5" ht="13.5" customHeight="1">
      <c r="D5" s="66" t="inlineStr">
        <is>
          <t>施設別 売上集計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施設</t>
        </is>
      </c>
      <c r="E7" s="68" t="inlineStr">
        <is>
          <t>売上計(円)</t>
        </is>
      </c>
      <c r="F7" s="138" t="inlineStr">
        <is>
          <t>売上構成%</t>
        </is>
      </c>
      <c r="G7" s="68" t="inlineStr">
        <is>
          <t>客室数(室)</t>
        </is>
      </c>
      <c r="H7" s="68" t="inlineStr">
        <is>
          <t>1室売上(円)</t>
        </is>
      </c>
    </row>
    <row r="8" ht="13.5" customHeight="1">
      <c r="D8" s="69" t="inlineStr">
        <is>
          <t>西伊豆</t>
        </is>
      </c>
      <c r="E8" s="85">
        <f>SUMIFS('02_RawData'!$I$8:$I$17,'02_RawData'!$E$8:$E$17,D8)</f>
        <v/>
      </c>
      <c r="F8" s="227">
        <f>E8/$E$10</f>
        <v/>
      </c>
      <c r="G8" s="85">
        <f>SUMIFS('03_Master'!$E$8:$E$9,'03_Master'!$D$8:$D$9,D8)</f>
        <v/>
      </c>
      <c r="H8" s="70">
        <f>E8/G8</f>
        <v/>
      </c>
    </row>
    <row r="9" ht="13.5" customHeight="1">
      <c r="D9" s="123" t="inlineStr">
        <is>
          <t>熱海</t>
        </is>
      </c>
      <c r="E9" s="108">
        <f>SUMIFS('02_RawData'!$I$8:$I$17,'02_RawData'!$E$8:$E$17,D9)</f>
        <v/>
      </c>
      <c r="F9" s="228">
        <f>E9/$E$10</f>
        <v/>
      </c>
      <c r="G9" s="108">
        <f>SUMIFS('03_Master'!$E$8:$E$9,'03_Master'!$D$8:$D$9,D9)</f>
        <v/>
      </c>
      <c r="H9" s="149">
        <f>E9/G9</f>
        <v/>
      </c>
    </row>
    <row r="10" ht="13.5" customHeight="1">
      <c r="D10" s="112" t="inlineStr">
        <is>
          <t>合計</t>
        </is>
      </c>
      <c r="E10" s="119">
        <f>SUM(E8:E9)</f>
        <v/>
      </c>
      <c r="F10" s="229">
        <f>E10/$E$10</f>
        <v/>
      </c>
      <c r="G10" s="119">
        <f>SUM(G8:G9)</f>
        <v/>
      </c>
      <c r="H10" s="119" t="n"/>
    </row>
    <row r="11" ht="13.5" customHeight="1"/>
    <row r="12" ht="13.5" customHeight="1"/>
    <row r="13" ht="13.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E10" sqref="E10"/>
    </sheetView>
  </sheetViews>
  <sheetFormatPr baseColWidth="8" defaultRowHeight="13"/>
  <cols>
    <col width="2.36328125" customWidth="1" min="1" max="3"/>
    <col width="16" customWidth="1" min="4" max="5"/>
  </cols>
  <sheetData>
    <row r="2" ht="19.5" customHeight="1">
      <c r="B2" s="64" t="inlineStr">
        <is>
          <t>05_Output ― KPI（Calculationを参照）</t>
        </is>
      </c>
    </row>
    <row r="3" ht="13.5" customHeight="1"/>
    <row r="4" ht="13.5" customHeight="1"/>
    <row r="5" ht="13.5" customHeight="1">
      <c r="D5" s="66" t="inlineStr">
        <is>
          <t>主要KPI</t>
        </is>
      </c>
      <c r="E5" s="67" t="n"/>
    </row>
    <row r="6" ht="13.5" customHeight="1"/>
    <row r="7" ht="13.5" customHeight="1">
      <c r="D7" s="68" t="inlineStr">
        <is>
          <t>KPI</t>
        </is>
      </c>
      <c r="E7" s="68" t="inlineStr">
        <is>
          <t>値</t>
        </is>
      </c>
    </row>
    <row r="8" ht="13.5" customHeight="1">
      <c r="D8" s="111" t="inlineStr">
        <is>
          <t>総売上(円)</t>
        </is>
      </c>
      <c r="E8" s="125">
        <f>'04_Calculation'!E10</f>
        <v/>
      </c>
    </row>
    <row r="9" ht="13.5" customHeight="1">
      <c r="D9" s="109" t="n"/>
      <c r="E9" s="110" t="n"/>
    </row>
    <row r="10" ht="13.5" customHeight="1">
      <c r="D10" s="69" t="inlineStr">
        <is>
          <t>西伊豆 構成比</t>
        </is>
      </c>
      <c r="E10" s="230">
        <f>'04_Calculation'!F8</f>
        <v/>
      </c>
    </row>
    <row r="11" ht="13.5" customHeight="1">
      <c r="D11" s="74" t="inlineStr">
        <is>
          <t>熱海 構成比</t>
        </is>
      </c>
      <c r="E11" s="231">
        <f>'04_Calculation'!F9</f>
        <v/>
      </c>
    </row>
    <row r="12" ht="13.5" customHeight="1"/>
    <row r="13" ht="13.5" customHeight="1"/>
    <row r="14" ht="13.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D10" sqref="D10"/>
    </sheetView>
  </sheetViews>
  <sheetFormatPr baseColWidth="8" defaultRowHeight="13"/>
  <cols>
    <col width="2.36328125" customWidth="1" min="1" max="3"/>
    <col width="28" customWidth="1" min="4" max="4"/>
    <col width="14" customWidth="1" min="5" max="7"/>
    <col width="10" customWidth="1" min="8" max="8"/>
  </cols>
  <sheetData>
    <row r="2" ht="19.5" customHeight="1">
      <c r="B2" s="64" t="inlineStr">
        <is>
          <t>06_Check ― 整合性チェック</t>
        </is>
      </c>
    </row>
    <row r="3" ht="13.5" customHeight="1"/>
    <row r="4" ht="13.5" customHeight="1">
      <c r="D4" s="3" t="inlineStr">
        <is>
          <t>判定がすべてOKなら、集計は元データと整合。1つでも要確認なら原因を追う。</t>
        </is>
      </c>
    </row>
    <row r="5" ht="13.5" customHeight="1">
      <c r="D5" s="66" t="inlineStr">
        <is>
          <t>チェック項目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チェック項目</t>
        </is>
      </c>
      <c r="E7" s="68" t="inlineStr">
        <is>
          <t>値A</t>
        </is>
      </c>
      <c r="F7" s="68" t="inlineStr">
        <is>
          <t>値B</t>
        </is>
      </c>
      <c r="G7" s="68" t="n"/>
      <c r="H7" s="68" t="inlineStr">
        <is>
          <t>判定</t>
        </is>
      </c>
    </row>
    <row r="8" ht="13.5" customHeight="1">
      <c r="D8" s="69" t="inlineStr">
        <is>
          <t>元データ件数 = 集計対象件数</t>
        </is>
      </c>
      <c r="E8" s="157">
        <f>COUNTA('02_RawData'!$D$8:$D$17)</f>
        <v/>
      </c>
      <c r="F8" s="155" t="n">
        <v>10</v>
      </c>
      <c r="G8" s="232">
        <f>F8-E8</f>
        <v/>
      </c>
      <c r="H8" s="87">
        <f>IF(G8&lt;0.0001,"OK","要確認")</f>
        <v/>
      </c>
    </row>
    <row r="9" ht="13.5" customHeight="1">
      <c r="D9" s="72" t="inlineStr">
        <is>
          <t>施設別売上合計 = 総売上</t>
        </is>
      </c>
      <c r="E9" s="105">
        <f>'04_Calculation'!E8+'04_Calculation'!E9</f>
        <v/>
      </c>
      <c r="F9" s="105">
        <f>'04_Calculation'!E10</f>
        <v/>
      </c>
      <c r="G9" s="233">
        <f>F9-E9</f>
        <v/>
      </c>
      <c r="H9" s="88">
        <f>IF(G9&lt;0.0001,"OK","要確認")</f>
        <v/>
      </c>
    </row>
    <row r="10" ht="13.5" customHeight="1">
      <c r="D10" s="74" t="inlineStr">
        <is>
          <t>構成比合計 = 100%</t>
        </is>
      </c>
      <c r="E10" s="234">
        <f>'05_Output'!E10+'05_Output'!E11</f>
        <v/>
      </c>
      <c r="F10" s="235" t="n">
        <v>1</v>
      </c>
      <c r="G10" s="236">
        <f>F10-E10</f>
        <v/>
      </c>
      <c r="H10" s="89">
        <f>IF(G10&lt;0.0001,"OK","要確認")</f>
        <v/>
      </c>
    </row>
    <row r="11" ht="13.5" customHeight="1"/>
    <row r="12" ht="13.5" customHeight="1"/>
    <row r="13" ht="13.5" customHeight="1"/>
  </sheetData>
  <conditionalFormatting sqref="H8:H10">
    <cfRule type="cellIs" priority="1" operator="equal" dxfId="1">
      <formula>"OK"</formula>
    </cfRule>
    <cfRule type="cellIs" priority="2" operator="equal" dxfId="0">
      <formula>"要確認"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D12" sqref="D12"/>
    </sheetView>
  </sheetViews>
  <sheetFormatPr baseColWidth="8" defaultRowHeight="13"/>
  <cols>
    <col width="2.36328125" customWidth="1" min="1" max="3"/>
    <col width="32" customWidth="1" min="4" max="4"/>
    <col width="16" customWidth="1" min="5" max="6"/>
    <col width="14" customWidth="1" min="7" max="7"/>
    <col width="10" customWidth="1" min="8" max="8"/>
  </cols>
  <sheetData>
    <row r="2" ht="19.5" customHeight="1">
      <c r="B2" s="64" t="inlineStr">
        <is>
          <t>4-1. チェックセルを設ける</t>
        </is>
      </c>
    </row>
    <row r="3" ht="13.5" customHeight="1"/>
    <row r="4" ht="13.5" customHeight="1">
      <c r="D4" s="3" t="inlineStr">
        <is>
          <t>「別ルートで出した2つの値が一致するか」を機械的に判定。1つでも要確認なら全体を疑う。</t>
        </is>
      </c>
    </row>
    <row r="5" ht="13.5" customHeight="1">
      <c r="D5" s="66" t="inlineStr">
        <is>
          <t>一致チェック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チェック項目</t>
        </is>
      </c>
      <c r="E7" s="68" t="inlineStr">
        <is>
          <t>値A</t>
        </is>
      </c>
      <c r="F7" s="68" t="inlineStr">
        <is>
          <t>値B</t>
        </is>
      </c>
      <c r="G7" s="68" t="inlineStr">
        <is>
          <t>差(A−B)</t>
        </is>
      </c>
      <c r="H7" s="68" t="inlineStr">
        <is>
          <t>判定</t>
        </is>
      </c>
    </row>
    <row r="8" ht="13.5" customHeight="1">
      <c r="D8" s="69" t="inlineStr">
        <is>
          <t>月次合計 = 年次合計</t>
        </is>
      </c>
      <c r="E8" s="70" t="n">
        <v>84000000</v>
      </c>
      <c r="F8" s="70" t="n">
        <v>84000000</v>
      </c>
      <c r="G8" s="237">
        <f>E8-F8</f>
        <v/>
      </c>
      <c r="H8" s="87">
        <f>IF(ABS(G8)&lt;1,"OK","要確認")</f>
        <v/>
      </c>
    </row>
    <row r="9" ht="13.5" customHeight="1">
      <c r="D9" s="72" t="inlineStr">
        <is>
          <t>部門別売上合計 = 全社売上</t>
        </is>
      </c>
      <c r="E9" s="73" t="n">
        <v>84000000</v>
      </c>
      <c r="F9" s="73" t="n">
        <v>84000000</v>
      </c>
      <c r="G9" s="238">
        <f>E9-F9</f>
        <v/>
      </c>
      <c r="H9" s="88">
        <f>IF(ABS(G9)&lt;1,"OK","要確認")</f>
        <v/>
      </c>
    </row>
    <row r="10" ht="13.5" customHeight="1">
      <c r="D10" s="72" t="inlineStr">
        <is>
          <t>元データ件数 = 集計後件数</t>
        </is>
      </c>
      <c r="E10" s="90" t="n">
        <v>1200</v>
      </c>
      <c r="F10" s="90" t="n">
        <v>1200</v>
      </c>
      <c r="G10" s="238">
        <f>E10-F10</f>
        <v/>
      </c>
      <c r="H10" s="88">
        <f>IF(ABS(G10)&lt;1,"OK","要確認")</f>
        <v/>
      </c>
    </row>
    <row r="11" ht="13.5" customHeight="1">
      <c r="D11" s="72" t="inlineStr">
        <is>
          <t>税抜×1.1 = 税込</t>
        </is>
      </c>
      <c r="E11" s="73" t="n">
        <v>92400000</v>
      </c>
      <c r="F11" s="73" t="n">
        <v>92400000</v>
      </c>
      <c r="G11" s="238">
        <f>E11-F11</f>
        <v/>
      </c>
      <c r="H11" s="88">
        <f>IF(ABS(G11)&lt;1,"OK","要確認")</f>
        <v/>
      </c>
    </row>
    <row r="12" ht="13.5" customHeight="1">
      <c r="D12" s="72" t="inlineStr">
        <is>
          <t>構成比の合計 = 100%</t>
        </is>
      </c>
      <c r="E12" s="239" t="n">
        <v>1</v>
      </c>
      <c r="F12" s="239" t="n">
        <v>0.99834336</v>
      </c>
      <c r="G12" s="238">
        <f>E12-F12</f>
        <v/>
      </c>
      <c r="H12" s="88">
        <f>IF(ABS(G12)&lt;0.0001,"OK","要確認")</f>
        <v/>
      </c>
    </row>
    <row r="13" ht="13.5" customHeight="1"/>
    <row r="14" ht="13.5" customHeight="1">
      <c r="D14" s="65" t="n"/>
    </row>
    <row r="15" ht="13.5" customHeight="1"/>
  </sheetData>
  <conditionalFormatting sqref="H8:H12">
    <cfRule type="cellIs" priority="1" operator="equal" dxfId="1">
      <formula>"OK"</formula>
    </cfRule>
    <cfRule type="cellIs" priority="2" operator="equal" dxfId="0">
      <formula>"要確認"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F10" sqref="F10"/>
    </sheetView>
  </sheetViews>
  <sheetFormatPr baseColWidth="8" defaultRowHeight="13"/>
  <cols>
    <col width="2.36328125" customWidth="1" min="1" max="3"/>
    <col width="30" customWidth="1" min="4" max="4"/>
    <col width="14" customWidth="1" min="5" max="5"/>
    <col width="22" customWidth="1" min="6" max="6"/>
    <col width="10" customWidth="1" min="7" max="7"/>
    <col width="30" customWidth="1" min="8" max="8"/>
  </cols>
  <sheetData>
    <row r="2" ht="19.5" customHeight="1">
      <c r="B2" s="64" t="inlineStr">
        <is>
          <t>4-3. 常識との整合性を確認する</t>
        </is>
      </c>
    </row>
    <row r="3" ht="13.5" customHeight="1"/>
    <row r="4" ht="13.5" customHeight="1">
      <c r="D4" s="3" t="inlineStr">
        <is>
          <t>数式が正しくても前提が非常識なら結論は誤り。「桁」と「率」を常識レンジと突き合わせる。</t>
        </is>
      </c>
    </row>
    <row r="5" ht="13.5" customHeight="1">
      <c r="D5" s="66" t="inlineStr">
        <is>
          <t>常識レンジとの照合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指標</t>
        </is>
      </c>
      <c r="E7" s="68" t="inlineStr">
        <is>
          <t>値</t>
        </is>
      </c>
      <c r="F7" s="68" t="inlineStr">
        <is>
          <t>常識レンジ</t>
        </is>
      </c>
      <c r="G7" s="68" t="inlineStr">
        <is>
          <t>判定</t>
        </is>
      </c>
      <c r="H7" s="68" t="inlineStr">
        <is>
          <t>コメント</t>
        </is>
      </c>
    </row>
    <row r="8" ht="13.5" customHeight="1">
      <c r="D8" s="69" t="inlineStr">
        <is>
          <t>1日あたり販売室数（客室10室）</t>
        </is>
      </c>
      <c r="E8" s="70" t="n">
        <v>15</v>
      </c>
      <c r="F8" s="77" t="inlineStr">
        <is>
          <t>0〜10室</t>
        </is>
      </c>
      <c r="G8" s="91">
        <f>IF(E8&lt;=10,"OK","異常")</f>
        <v/>
      </c>
      <c r="H8" s="92" t="inlineStr">
        <is>
          <t>客室数を超えて販売している</t>
        </is>
      </c>
    </row>
    <row r="9" ht="13.5" customHeight="1">
      <c r="D9" s="72" t="inlineStr">
        <is>
          <t>料理原価率</t>
        </is>
      </c>
      <c r="E9" s="239" t="n">
        <v>0.05</v>
      </c>
      <c r="F9" s="79" t="inlineStr">
        <is>
          <t>20%〜40%</t>
        </is>
      </c>
      <c r="G9" s="93">
        <f>IF(AND(E9&gt;=0.2,E9&lt;=0.4),"OK","異常")</f>
        <v/>
      </c>
      <c r="H9" s="94" t="inlineStr">
        <is>
          <t>5%は低すぎ（仕入計上漏れの疑い）</t>
        </is>
      </c>
    </row>
    <row r="10" ht="13.5" customHeight="1">
      <c r="D10" s="74" t="inlineStr">
        <is>
          <t>正社員1人あたり人件費（月）</t>
        </is>
      </c>
      <c r="E10" s="75" t="n">
        <v>50000</v>
      </c>
      <c r="F10" s="83" t="inlineStr">
        <is>
          <t>25〜40万円/月</t>
        </is>
      </c>
      <c r="G10" s="95">
        <f>IF(AND(E10&gt;=250000,E10&lt;=400000),"OK","異常")</f>
        <v/>
      </c>
      <c r="H10" s="96" t="inlineStr">
        <is>
          <t>月5万円は非現実的（年額混同の疑い）</t>
        </is>
      </c>
    </row>
    <row r="11" ht="13.5" customHeight="1"/>
    <row r="12" ht="13.5" customHeight="1">
      <c r="D12" s="65" t="inlineStr">
        <is>
          <t>すべて意図的に「異常」になる例です。IF＋AND で常識レンジ内かを自動判定できます。</t>
        </is>
      </c>
    </row>
    <row r="13" ht="13.5" customHeight="1"/>
  </sheetData>
  <conditionalFormatting sqref="G8:G10">
    <cfRule type="cellIs" priority="1" operator="equal" dxfId="1">
      <formula>"OK"</formula>
    </cfRule>
    <cfRule type="cellIs" priority="2" operator="equal" dxfId="0">
      <formula>"異常"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2026-08-10T07:30:56Z</dcterms:modified>
  <cp:lastModifiedBy>ARTH.inc</cp:lastModifiedBy>
</cp:coreProperties>
</file>