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605" yWindow="-16320" windowWidth="29040" windowHeight="16440" tabRatio="600" firstSheet="0" activeTab="0" autoFilterDateGrouping="1"/>
  </bookViews>
  <sheets>
    <sheet name="2-1_実績集計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#,##0.0"/>
    <numFmt numFmtId="165" formatCode="0.0%"/>
    <numFmt numFmtId="166" formatCode="0.0"/>
    <numFmt numFmtId="167" formatCode="#,##0%;[Red]\-#,##0%"/>
    <numFmt numFmtId="168" formatCode="#,##0.00000"/>
    <numFmt numFmtId="169" formatCode="#,##0.0%;[Red]\-#,##0.0%"/>
    <numFmt numFmtId="170" formatCode="0.000"/>
  </numFmts>
  <fonts count="29">
    <font>
      <name val="ＭＳ Ｐゴシック"/>
      <family val="2"/>
      <color theme="1"/>
      <sz val="11"/>
      <scheme val="minor"/>
    </font>
    <font>
      <name val="Meiryo UI"/>
      <charset val="128"/>
      <family val="2"/>
      <color theme="1"/>
      <sz val="11"/>
    </font>
    <font>
      <name val="Meiryo UI"/>
      <charset val="128"/>
      <family val="3"/>
      <b val="1"/>
      <color rgb="FF002060"/>
      <sz val="14"/>
    </font>
    <font>
      <name val="Meiryo UI"/>
      <charset val="128"/>
      <family val="3"/>
      <color rgb="FF666666"/>
      <sz val="9"/>
    </font>
    <font>
      <name val="Meiryo UI"/>
      <charset val="128"/>
      <family val="3"/>
      <b val="1"/>
      <color rgb="FF1F3A4D"/>
      <sz val="10"/>
    </font>
    <font>
      <name val="Meiryo UI"/>
      <charset val="128"/>
      <family val="3"/>
      <b val="1"/>
      <color rgb="FFFFFFFF"/>
      <sz val="10"/>
    </font>
    <font>
      <name val="Meiryo UI"/>
      <charset val="128"/>
      <family val="3"/>
      <color rgb="FF000000"/>
      <sz val="10"/>
    </font>
    <font>
      <name val="Meiryo UI"/>
      <charset val="128"/>
      <family val="3"/>
      <color rgb="FFFF0000"/>
      <sz val="9"/>
    </font>
    <font>
      <name val="Meiryo UI"/>
      <charset val="128"/>
      <family val="3"/>
      <b val="1"/>
      <color rgb="FFFF0000"/>
      <sz val="10"/>
    </font>
    <font>
      <name val="Meiryo UI"/>
      <charset val="128"/>
      <family val="3"/>
      <color rgb="FF0000FF"/>
      <sz val="10"/>
    </font>
    <font>
      <name val="ＭＳ Ｐゴシック"/>
      <family val="2"/>
      <color theme="1"/>
      <sz val="11"/>
      <scheme val="minor"/>
    </font>
    <font>
      <name val="ＭＳ Ｐゴシック"/>
      <charset val="128"/>
      <family val="3"/>
      <sz val="6"/>
      <scheme val="minor"/>
    </font>
    <font>
      <name val="Meiryo UI"/>
      <charset val="128"/>
      <family val="3"/>
      <b val="1"/>
      <color indexed="8"/>
      <sz val="10"/>
    </font>
    <font>
      <name val="Meiryo UI"/>
      <charset val="128"/>
      <family val="3"/>
      <color indexed="8"/>
      <sz val="10"/>
    </font>
    <font>
      <name val="ＭＳ Ｐゴシック"/>
      <family val="2"/>
      <color rgb="FFFFFFFF"/>
      <sz val="11"/>
      <scheme val="minor"/>
    </font>
    <font>
      <name val="ＭＳ Ｐゴシック"/>
      <family val="2"/>
      <color indexed="8"/>
      <sz val="11"/>
      <scheme val="minor"/>
    </font>
    <font>
      <name val="Meiryo UI"/>
      <charset val="128"/>
      <family val="3"/>
      <color rgb="FF008000"/>
      <sz val="10"/>
    </font>
    <font>
      <name val="Meiryo UI"/>
      <charset val="128"/>
      <family val="3"/>
      <b val="1"/>
      <color rgb="FF000000"/>
      <sz val="10"/>
    </font>
    <font>
      <name val="Meiryo UI"/>
      <charset val="128"/>
      <family val="3"/>
      <b val="1"/>
      <color rgb="FF002060"/>
      <sz val="14"/>
    </font>
    <font>
      <name val="Meiryo UI"/>
      <charset val="128"/>
      <family val="3"/>
      <color rgb="FF808080"/>
      <sz val="9"/>
    </font>
    <font>
      <name val="Meiryo UI"/>
      <charset val="128"/>
      <family val="3"/>
      <b val="1"/>
      <color rgb="FFFFFFFF"/>
      <sz val="10"/>
    </font>
    <font>
      <name val="Meiryo UI"/>
      <charset val="128"/>
      <family val="3"/>
      <color rgb="FFFFFFFF"/>
      <sz val="10"/>
    </font>
    <font>
      <name val="Meiryo UI"/>
      <charset val="128"/>
      <family val="3"/>
      <color rgb="FF000000"/>
      <sz val="10"/>
    </font>
    <font>
      <name val="Meiryo UI"/>
      <charset val="128"/>
      <family val="3"/>
      <color rgb="FF0000FF"/>
      <sz val="10"/>
    </font>
    <font>
      <name val="Meiryo UI"/>
      <charset val="128"/>
      <family val="3"/>
      <color rgb="FF008000"/>
      <sz val="10"/>
    </font>
    <font>
      <name val="Meiryo UI"/>
      <charset val="128"/>
      <family val="3"/>
      <b val="1"/>
      <color rgb="FF000000"/>
      <sz val="10"/>
    </font>
    <font>
      <name val="Meiryo UI"/>
      <charset val="128"/>
      <family val="3"/>
      <b val="1"/>
      <color rgb="FFFF0000"/>
      <sz val="10"/>
    </font>
    <font>
      <name val="Meiryo UI"/>
      <charset val="128"/>
      <family val="3"/>
      <color rgb="FFFF0000"/>
      <sz val="10"/>
    </font>
    <font>
      <name val="Meiryo UI"/>
      <charset val="128"/>
      <family val="3"/>
      <i val="1"/>
      <color rgb="FF808080"/>
      <sz val="10"/>
    </font>
  </fonts>
  <fills count="7">
    <fill>
      <patternFill/>
    </fill>
    <fill>
      <patternFill patternType="gray125"/>
    </fill>
    <fill>
      <patternFill patternType="solid">
        <fgColor rgb="FF1F3F51"/>
      </patternFill>
    </fill>
    <fill>
      <patternFill patternType="solid">
        <fgColor rgb="FFCCFFFF"/>
      </patternFill>
    </fill>
    <fill>
      <patternFill patternType="solid">
        <fgColor rgb="FFFFFF99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1F3F51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hair">
        <color rgb="FF000000"/>
      </top>
      <bottom/>
      <diagonal/>
    </border>
    <border>
      <left style="thin">
        <color theme="0" tint="-0.1499679555650502"/>
      </left>
      <right style="thin">
        <color theme="0" tint="-0.1499679555650502"/>
      </right>
      <top style="thin">
        <color theme="0" tint="-0.1499679555650502"/>
      </top>
      <bottom style="thin">
        <color theme="0" tint="-0.1499679555650502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3">
    <xf numFmtId="0" fontId="10" fillId="0" borderId="0"/>
    <xf numFmtId="38" fontId="10" fillId="0" borderId="0" applyAlignment="1">
      <alignment vertical="center"/>
    </xf>
    <xf numFmtId="0" fontId="1" fillId="0" borderId="0" applyAlignment="1">
      <alignment vertical="center"/>
    </xf>
  </cellStyleXfs>
  <cellXfs count="189"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3" fontId="6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vertical="center"/>
    </xf>
    <xf numFmtId="0" fontId="6" fillId="0" borderId="4" applyAlignment="1" pivotButton="0" quotePrefix="0" xfId="0">
      <alignment horizontal="left" vertical="center"/>
    </xf>
    <xf numFmtId="0" fontId="6" fillId="0" borderId="5" applyAlignment="1" pivotButton="0" quotePrefix="0" xfId="0">
      <alignment horizontal="left" vertical="center"/>
    </xf>
    <xf numFmtId="0" fontId="6" fillId="0" borderId="6" applyAlignment="1" pivotButton="0" quotePrefix="0" xfId="0">
      <alignment horizontal="left" vertical="center"/>
    </xf>
    <xf numFmtId="3" fontId="6" fillId="0" borderId="7" applyAlignment="1" pivotButton="0" quotePrefix="0" xfId="0">
      <alignment horizontal="right" vertical="center"/>
    </xf>
    <xf numFmtId="3" fontId="6" fillId="0" borderId="8" applyAlignment="1" pivotButton="0" quotePrefix="0" xfId="0">
      <alignment horizontal="right" vertical="center"/>
    </xf>
    <xf numFmtId="3" fontId="6" fillId="0" borderId="9" applyAlignment="1" pivotButton="0" quotePrefix="0" xfId="0">
      <alignment horizontal="right" vertical="center"/>
    </xf>
    <xf numFmtId="0" fontId="5" fillId="6" borderId="0" applyAlignment="1" pivotButton="0" quotePrefix="0" xfId="0">
      <alignment horizontal="left" vertical="center"/>
    </xf>
    <xf numFmtId="0" fontId="14" fillId="6" borderId="0" pivotButton="0" quotePrefix="0" xfId="0"/>
    <xf numFmtId="0" fontId="8" fillId="4" borderId="1" applyAlignment="1" pivotButton="0" quotePrefix="0" xfId="0">
      <alignment vertical="center"/>
    </xf>
    <xf numFmtId="0" fontId="13" fillId="0" borderId="1" applyAlignment="1" pivotButton="0" quotePrefix="0" xfId="0">
      <alignment vertical="center"/>
    </xf>
    <xf numFmtId="10" fontId="13" fillId="0" borderId="1" applyAlignment="1" pivotButton="0" quotePrefix="0" xfId="0">
      <alignment vertical="center"/>
    </xf>
    <xf numFmtId="164" fontId="13" fillId="0" borderId="1" applyAlignment="1" pivotButton="0" quotePrefix="0" xfId="0">
      <alignment vertical="center"/>
    </xf>
    <xf numFmtId="3" fontId="13" fillId="0" borderId="1" applyAlignment="1" pivotButton="0" quotePrefix="0" xfId="0">
      <alignment vertical="center"/>
    </xf>
    <xf numFmtId="2" fontId="13" fillId="0" borderId="1" applyAlignment="1" pivotButton="0" quotePrefix="0" xfId="0">
      <alignment horizontal="right" vertical="center"/>
    </xf>
    <xf numFmtId="0" fontId="6" fillId="5" borderId="0" applyAlignment="1" pivotButton="0" quotePrefix="0" xfId="0">
      <alignment horizontal="left" vertical="center"/>
    </xf>
    <xf numFmtId="3" fontId="6" fillId="5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center" vertical="center"/>
    </xf>
    <xf numFmtId="0" fontId="6" fillId="0" borderId="7" applyAlignment="1" pivotButton="0" quotePrefix="0" xfId="0">
      <alignment horizontal="left" vertical="center"/>
    </xf>
    <xf numFmtId="0" fontId="6" fillId="0" borderId="8" applyAlignment="1" pivotButton="0" quotePrefix="0" xfId="0">
      <alignment horizontal="left" vertical="center"/>
    </xf>
    <xf numFmtId="0" fontId="6" fillId="0" borderId="9" applyAlignment="1" pivotButton="0" quotePrefix="0" xfId="0">
      <alignment horizontal="left" vertical="center"/>
    </xf>
    <xf numFmtId="0" fontId="6" fillId="0" borderId="11" applyAlignment="1" pivotButton="0" quotePrefix="0" xfId="0">
      <alignment horizontal="left" vertical="center"/>
    </xf>
    <xf numFmtId="0" fontId="6" fillId="0" borderId="12" applyAlignment="1" pivotButton="0" quotePrefix="0" xfId="0">
      <alignment horizontal="left" vertical="center"/>
    </xf>
    <xf numFmtId="0" fontId="6" fillId="0" borderId="13" applyAlignment="1" pivotButton="0" quotePrefix="0" xfId="0">
      <alignment horizontal="left" vertical="center"/>
    </xf>
    <xf numFmtId="0" fontId="13" fillId="0" borderId="0" applyAlignment="1" pivotButton="0" quotePrefix="0" xfId="0">
      <alignment vertical="center"/>
    </xf>
    <xf numFmtId="0" fontId="13" fillId="0" borderId="0" applyAlignment="1" pivotButton="0" quotePrefix="0" xfId="0">
      <alignment horizontal="centerContinuous" vertical="center"/>
    </xf>
    <xf numFmtId="0" fontId="15" fillId="0" borderId="0" pivotButton="0" quotePrefix="0" xfId="0"/>
    <xf numFmtId="0" fontId="6" fillId="5" borderId="4" applyAlignment="1" pivotButton="0" quotePrefix="0" xfId="0">
      <alignment horizontal="left" vertical="center"/>
    </xf>
    <xf numFmtId="3" fontId="6" fillId="5" borderId="7" applyAlignment="1" pivotButton="0" quotePrefix="0" xfId="0">
      <alignment horizontal="right" vertical="center"/>
    </xf>
    <xf numFmtId="0" fontId="6" fillId="5" borderId="5" applyAlignment="1" pivotButton="0" quotePrefix="0" xfId="0">
      <alignment horizontal="left" vertical="center"/>
    </xf>
    <xf numFmtId="3" fontId="6" fillId="5" borderId="8" applyAlignment="1" pivotButton="0" quotePrefix="0" xfId="0">
      <alignment horizontal="right" vertical="center"/>
    </xf>
    <xf numFmtId="0" fontId="6" fillId="5" borderId="6" applyAlignment="1" pivotButton="0" quotePrefix="0" xfId="0">
      <alignment horizontal="left" vertical="center"/>
    </xf>
    <xf numFmtId="3" fontId="6" fillId="5" borderId="9" applyAlignment="1" pivotButton="0" quotePrefix="0" xfId="0">
      <alignment horizontal="right" vertical="center"/>
    </xf>
    <xf numFmtId="0" fontId="13" fillId="5" borderId="0" applyAlignment="1" pivotButton="0" quotePrefix="0" xfId="0">
      <alignment horizontal="center" vertical="center"/>
    </xf>
    <xf numFmtId="0" fontId="12" fillId="0" borderId="1" applyAlignment="1" pivotButton="0" quotePrefix="0" xfId="0">
      <alignment vertical="center"/>
    </xf>
    <xf numFmtId="3" fontId="9" fillId="0" borderId="7" applyAlignment="1" pivotButton="0" quotePrefix="0" xfId="0">
      <alignment horizontal="right" vertical="center"/>
    </xf>
    <xf numFmtId="3" fontId="9" fillId="0" borderId="4" applyAlignment="1" pivotButton="0" quotePrefix="0" xfId="0">
      <alignment horizontal="right" vertical="center"/>
    </xf>
    <xf numFmtId="3" fontId="9" fillId="0" borderId="8" applyAlignment="1" pivotButton="0" quotePrefix="0" xfId="0">
      <alignment horizontal="right" vertical="center"/>
    </xf>
    <xf numFmtId="3" fontId="9" fillId="0" borderId="5" applyAlignment="1" pivotButton="0" quotePrefix="0" xfId="0">
      <alignment horizontal="right" vertical="center"/>
    </xf>
    <xf numFmtId="3" fontId="9" fillId="0" borderId="9" applyAlignment="1" pivotButton="0" quotePrefix="0" xfId="0">
      <alignment horizontal="right" vertical="center"/>
    </xf>
    <xf numFmtId="3" fontId="9" fillId="0" borderId="6" applyAlignment="1" pivotButton="0" quotePrefix="0" xfId="0">
      <alignment horizontal="right" vertical="center"/>
    </xf>
    <xf numFmtId="165" fontId="9" fillId="0" borderId="7" applyAlignment="1" pivotButton="0" quotePrefix="0" xfId="0">
      <alignment horizontal="right" vertical="center"/>
    </xf>
    <xf numFmtId="165" fontId="9" fillId="0" borderId="8" applyAlignment="1" pivotButton="0" quotePrefix="0" xfId="0">
      <alignment horizontal="right" vertical="center"/>
    </xf>
    <xf numFmtId="165" fontId="9" fillId="0" borderId="9" applyAlignment="1" pivotButton="0" quotePrefix="0" xfId="0">
      <alignment horizontal="right" vertical="center"/>
    </xf>
    <xf numFmtId="3" fontId="13" fillId="0" borderId="4" applyAlignment="1" pivotButton="0" quotePrefix="0" xfId="0">
      <alignment horizontal="right" vertical="center"/>
    </xf>
    <xf numFmtId="3" fontId="6" fillId="5" borderId="4" applyAlignment="1" pivotButton="0" quotePrefix="0" xfId="0">
      <alignment horizontal="right" vertical="center"/>
    </xf>
    <xf numFmtId="3" fontId="13" fillId="0" borderId="5" applyAlignment="1" pivotButton="0" quotePrefix="0" xfId="0">
      <alignment horizontal="right" vertical="center"/>
    </xf>
    <xf numFmtId="3" fontId="6" fillId="5" borderId="5" applyAlignment="1" pivotButton="0" quotePrefix="0" xfId="0">
      <alignment horizontal="right" vertical="center"/>
    </xf>
    <xf numFmtId="3" fontId="13" fillId="0" borderId="6" applyAlignment="1" pivotButton="0" quotePrefix="0" xfId="0">
      <alignment horizontal="right" vertical="center"/>
    </xf>
    <xf numFmtId="3" fontId="6" fillId="5" borderId="6" applyAlignment="1" pivotButton="0" quotePrefix="0" xfId="0">
      <alignment horizontal="right" vertical="center"/>
    </xf>
    <xf numFmtId="3" fontId="9" fillId="0" borderId="0" applyAlignment="1" pivotButton="0" quotePrefix="0" xfId="0">
      <alignment horizontal="right" vertical="center"/>
    </xf>
    <xf numFmtId="0" fontId="13" fillId="0" borderId="2" applyAlignment="1" pivotButton="0" quotePrefix="0" xfId="0">
      <alignment horizontal="left" vertical="center"/>
    </xf>
    <xf numFmtId="0" fontId="13" fillId="0" borderId="4" applyAlignment="1" pivotButton="0" quotePrefix="0" xfId="0">
      <alignment horizontal="left" vertical="center"/>
    </xf>
    <xf numFmtId="0" fontId="13" fillId="0" borderId="4" applyAlignment="1" pivotButton="0" quotePrefix="0" xfId="0">
      <alignment horizontal="center" vertical="center"/>
    </xf>
    <xf numFmtId="0" fontId="13" fillId="0" borderId="5" applyAlignment="1" pivotButton="0" quotePrefix="0" xfId="0">
      <alignment horizontal="left" vertical="center"/>
    </xf>
    <xf numFmtId="0" fontId="13" fillId="0" borderId="5" applyAlignment="1" pivotButton="0" quotePrefix="0" xfId="0">
      <alignment horizontal="center" vertical="center"/>
    </xf>
    <xf numFmtId="0" fontId="13" fillId="0" borderId="6" applyAlignment="1" pivotButton="0" quotePrefix="0" xfId="0">
      <alignment horizontal="left" vertical="center"/>
    </xf>
    <xf numFmtId="0" fontId="13" fillId="0" borderId="6" applyAlignment="1" pivotButton="0" quotePrefix="0" xfId="0">
      <alignment horizontal="center" vertical="center"/>
    </xf>
    <xf numFmtId="3" fontId="13" fillId="0" borderId="7" applyAlignment="1" pivotButton="0" quotePrefix="0" xfId="0">
      <alignment horizontal="right" vertical="center"/>
    </xf>
    <xf numFmtId="3" fontId="13" fillId="0" borderId="8" applyAlignment="1" pivotButton="0" quotePrefix="0" xfId="0">
      <alignment horizontal="right" vertical="center"/>
    </xf>
    <xf numFmtId="3" fontId="13" fillId="0" borderId="9" applyAlignment="1" pivotButton="0" quotePrefix="0" xfId="0">
      <alignment horizontal="right" vertical="center"/>
    </xf>
    <xf numFmtId="38" fontId="13" fillId="0" borderId="4" applyAlignment="1" pivotButton="0" quotePrefix="0" xfId="1">
      <alignment vertical="center"/>
    </xf>
    <xf numFmtId="38" fontId="13" fillId="0" borderId="6" applyAlignment="1" pivotButton="0" quotePrefix="0" xfId="1">
      <alignment vertical="center"/>
    </xf>
    <xf numFmtId="38" fontId="13" fillId="0" borderId="7" applyAlignment="1" pivotButton="0" quotePrefix="0" xfId="1">
      <alignment vertical="center"/>
    </xf>
    <xf numFmtId="38" fontId="13" fillId="0" borderId="9" applyAlignment="1" pivotButton="0" quotePrefix="0" xfId="1">
      <alignment vertical="center"/>
    </xf>
    <xf numFmtId="38" fontId="13" fillId="0" borderId="2" applyAlignment="1" pivotButton="0" quotePrefix="0" xfId="1">
      <alignment vertical="center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/>
    </xf>
    <xf numFmtId="0" fontId="20" fillId="2" borderId="0" applyAlignment="1" pivotButton="0" quotePrefix="0" xfId="0">
      <alignment horizontal="left" vertical="center"/>
    </xf>
    <xf numFmtId="0" fontId="21" fillId="2" borderId="0" applyAlignment="1" pivotButton="0" quotePrefix="0" xfId="0">
      <alignment horizontal="left" vertical="center"/>
    </xf>
    <xf numFmtId="0" fontId="22" fillId="0" borderId="0" applyAlignment="1" pivotButton="0" quotePrefix="0" xfId="0">
      <alignment horizontal="center" vertical="center"/>
    </xf>
    <xf numFmtId="0" fontId="22" fillId="0" borderId="14" applyAlignment="1" pivotButton="0" quotePrefix="0" xfId="0">
      <alignment horizontal="left" vertical="center"/>
    </xf>
    <xf numFmtId="3" fontId="22" fillId="0" borderId="14" applyAlignment="1" pivotButton="0" quotePrefix="0" xfId="0">
      <alignment horizontal="right" vertical="center"/>
    </xf>
    <xf numFmtId="0" fontId="22" fillId="0" borderId="17" applyAlignment="1" pivotButton="0" quotePrefix="0" xfId="0">
      <alignment horizontal="left" vertical="center"/>
    </xf>
    <xf numFmtId="0" fontId="22" fillId="0" borderId="15" applyAlignment="1" pivotButton="0" quotePrefix="0" xfId="0">
      <alignment horizontal="left" vertical="center"/>
    </xf>
    <xf numFmtId="3" fontId="22" fillId="0" borderId="15" applyAlignment="1" pivotButton="0" quotePrefix="0" xfId="0">
      <alignment horizontal="right" vertical="center"/>
    </xf>
    <xf numFmtId="0" fontId="22" fillId="0" borderId="16" applyAlignment="1" pivotButton="0" quotePrefix="0" xfId="0">
      <alignment horizontal="left" vertical="center"/>
    </xf>
    <xf numFmtId="3" fontId="22" fillId="0" borderId="16" applyAlignment="1" pivotButton="0" quotePrefix="0" xfId="0">
      <alignment horizontal="right" vertical="center"/>
    </xf>
    <xf numFmtId="3" fontId="23" fillId="3" borderId="14" applyAlignment="1" pivotButton="0" quotePrefix="0" xfId="0">
      <alignment horizontal="right" vertical="center"/>
    </xf>
    <xf numFmtId="0" fontId="22" fillId="0" borderId="14" applyAlignment="1" pivotButton="0" quotePrefix="0" xfId="0">
      <alignment horizontal="center" vertical="center"/>
    </xf>
    <xf numFmtId="3" fontId="23" fillId="3" borderId="15" applyAlignment="1" pivotButton="0" quotePrefix="0" xfId="0">
      <alignment horizontal="right" vertical="center"/>
    </xf>
    <xf numFmtId="0" fontId="22" fillId="0" borderId="15" applyAlignment="1" pivotButton="0" quotePrefix="0" xfId="0">
      <alignment horizontal="center" vertical="center"/>
    </xf>
    <xf numFmtId="165" fontId="23" fillId="3" borderId="15" applyAlignment="1" pivotButton="0" quotePrefix="0" xfId="0">
      <alignment horizontal="right" vertical="center"/>
    </xf>
    <xf numFmtId="166" fontId="23" fillId="3" borderId="15" applyAlignment="1" pivotButton="0" quotePrefix="0" xfId="0">
      <alignment horizontal="right" vertical="center"/>
    </xf>
    <xf numFmtId="3" fontId="23" fillId="3" borderId="16" applyAlignment="1" pivotButton="0" quotePrefix="0" xfId="0">
      <alignment horizontal="right" vertical="center"/>
    </xf>
    <xf numFmtId="0" fontId="22" fillId="0" borderId="16" applyAlignment="1" pivotButton="0" quotePrefix="0" xfId="0">
      <alignment horizontal="center" vertical="center"/>
    </xf>
    <xf numFmtId="165" fontId="23" fillId="3" borderId="14" applyAlignment="1" pivotButton="0" quotePrefix="0" xfId="0">
      <alignment horizontal="right" vertical="center"/>
    </xf>
    <xf numFmtId="3" fontId="24" fillId="0" borderId="14" applyAlignment="1" pivotButton="0" quotePrefix="0" xfId="0">
      <alignment horizontal="right" vertical="center"/>
    </xf>
    <xf numFmtId="165" fontId="22" fillId="0" borderId="15" applyAlignment="1" pivotButton="0" quotePrefix="0" xfId="0">
      <alignment horizontal="right" vertical="center"/>
    </xf>
    <xf numFmtId="0" fontId="25" fillId="0" borderId="14" applyAlignment="1" pivotButton="0" quotePrefix="0" xfId="0">
      <alignment horizontal="center" vertical="center"/>
    </xf>
    <xf numFmtId="0" fontId="25" fillId="0" borderId="15" applyAlignment="1" pivotButton="0" quotePrefix="0" xfId="0">
      <alignment horizontal="center" vertical="center"/>
    </xf>
    <xf numFmtId="0" fontId="25" fillId="0" borderId="16" applyAlignment="1" pivotButton="0" quotePrefix="0" xfId="0">
      <alignment horizontal="center" vertical="center"/>
    </xf>
    <xf numFmtId="1" fontId="22" fillId="0" borderId="15" applyAlignment="1" pivotButton="0" quotePrefix="0" xfId="0">
      <alignment horizontal="right" vertical="center"/>
    </xf>
    <xf numFmtId="0" fontId="26" fillId="0" borderId="14" applyAlignment="1" pivotButton="0" quotePrefix="0" xfId="0">
      <alignment horizontal="center" vertical="center"/>
    </xf>
    <xf numFmtId="0" fontId="27" fillId="0" borderId="14" applyAlignment="1" pivotButton="0" quotePrefix="0" xfId="0">
      <alignment horizontal="left" vertical="center"/>
    </xf>
    <xf numFmtId="0" fontId="26" fillId="0" borderId="15" applyAlignment="1" pivotButton="0" quotePrefix="0" xfId="0">
      <alignment horizontal="center" vertical="center"/>
    </xf>
    <xf numFmtId="0" fontId="27" fillId="0" borderId="15" applyAlignment="1" pivotButton="0" quotePrefix="0" xfId="0">
      <alignment horizontal="left" vertical="center"/>
    </xf>
    <xf numFmtId="0" fontId="26" fillId="0" borderId="16" applyAlignment="1" pivotButton="0" quotePrefix="0" xfId="0">
      <alignment horizontal="center" vertical="center"/>
    </xf>
    <xf numFmtId="0" fontId="27" fillId="0" borderId="16" applyAlignment="1" pivotButton="0" quotePrefix="0" xfId="0">
      <alignment horizontal="left" vertical="center"/>
    </xf>
    <xf numFmtId="0" fontId="12" fillId="0" borderId="1" applyAlignment="1" pivotButton="0" quotePrefix="0" xfId="0">
      <alignment horizontal="right" vertical="center"/>
    </xf>
    <xf numFmtId="0" fontId="0" fillId="0" borderId="3" pivotButton="0" quotePrefix="0" xfId="0"/>
    <xf numFmtId="0" fontId="0" fillId="0" borderId="10" pivotButton="0" quotePrefix="0" xfId="0"/>
    <xf numFmtId="0" fontId="5" fillId="2" borderId="0" applyAlignment="1" pivotButton="0" quotePrefix="0" xfId="0">
      <alignment horizontal="left" vertical="center"/>
    </xf>
    <xf numFmtId="0" fontId="6" fillId="0" borderId="17" applyAlignment="1" pivotButton="0" quotePrefix="1" xfId="0">
      <alignment horizontal="left" vertical="center"/>
    </xf>
    <xf numFmtId="0" fontId="6" fillId="0" borderId="15" applyAlignment="1" pivotButton="0" quotePrefix="0" xfId="0">
      <alignment horizontal="left" vertical="center"/>
    </xf>
    <xf numFmtId="3" fontId="16" fillId="0" borderId="14" applyAlignment="1" pivotButton="0" quotePrefix="0" xfId="0">
      <alignment horizontal="right" vertical="center"/>
    </xf>
    <xf numFmtId="0" fontId="13" fillId="0" borderId="14" applyAlignment="1" pivotButton="0" quotePrefix="0" xfId="0">
      <alignment horizontal="left" vertical="center"/>
    </xf>
    <xf numFmtId="0" fontId="6" fillId="0" borderId="14" applyAlignment="1" pivotButton="0" quotePrefix="0" xfId="0">
      <alignment horizontal="left" vertical="center"/>
    </xf>
    <xf numFmtId="167" fontId="16" fillId="0" borderId="0" applyAlignment="1" pivotButton="0" quotePrefix="0" xfId="0">
      <alignment horizontal="right" vertical="center"/>
    </xf>
    <xf numFmtId="0" fontId="13" fillId="0" borderId="15" applyAlignment="1" pivotButton="0" quotePrefix="0" xfId="0">
      <alignment horizontal="left" vertical="center"/>
    </xf>
    <xf numFmtId="3" fontId="16" fillId="0" borderId="15" applyAlignment="1" pivotButton="0" quotePrefix="0" xfId="0">
      <alignment horizontal="right" vertical="center"/>
    </xf>
    <xf numFmtId="0" fontId="13" fillId="0" borderId="20" applyAlignment="1" pivotButton="0" quotePrefix="0" xfId="0">
      <alignment horizontal="left" vertical="center"/>
    </xf>
    <xf numFmtId="167" fontId="16" fillId="0" borderId="20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/>
    </xf>
    <xf numFmtId="3" fontId="24" fillId="0" borderId="20" applyAlignment="1" pivotButton="0" quotePrefix="0" xfId="0">
      <alignment horizontal="right" vertical="center"/>
    </xf>
    <xf numFmtId="0" fontId="22" fillId="0" borderId="0" applyAlignment="1" pivotButton="0" quotePrefix="0" xfId="0">
      <alignment horizontal="left" vertical="center"/>
    </xf>
    <xf numFmtId="3" fontId="24" fillId="0" borderId="0" applyAlignment="1" pivotButton="0" quotePrefix="0" xfId="0">
      <alignment horizontal="right" vertical="center"/>
    </xf>
    <xf numFmtId="0" fontId="22" fillId="0" borderId="18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/>
    </xf>
    <xf numFmtId="0" fontId="22" fillId="0" borderId="2" applyAlignment="1" pivotButton="0" quotePrefix="0" xfId="0">
      <alignment horizontal="left" vertical="center"/>
    </xf>
    <xf numFmtId="0" fontId="6" fillId="0" borderId="19" applyAlignment="1" pivotButton="0" quotePrefix="0" xfId="0">
      <alignment horizontal="left" vertical="center"/>
    </xf>
    <xf numFmtId="0" fontId="6" fillId="0" borderId="17" applyAlignment="1" pivotButton="0" quotePrefix="0" xfId="0">
      <alignment horizontal="left" vertical="center"/>
    </xf>
    <xf numFmtId="3" fontId="24" fillId="0" borderId="17" applyAlignment="1" pivotButton="0" quotePrefix="0" xfId="0">
      <alignment horizontal="right" vertical="center"/>
    </xf>
    <xf numFmtId="0" fontId="6" fillId="0" borderId="16" applyAlignment="1" pivotButton="0" quotePrefix="0" xfId="0">
      <alignment horizontal="left" vertical="center"/>
    </xf>
    <xf numFmtId="3" fontId="24" fillId="0" borderId="16" applyAlignment="1" pivotButton="0" quotePrefix="0" xfId="0">
      <alignment horizontal="right" vertical="center"/>
    </xf>
    <xf numFmtId="0" fontId="0" fillId="0" borderId="0" pivotButton="0" quotePrefix="0" xfId="0"/>
    <xf numFmtId="3" fontId="6" fillId="0" borderId="2" applyAlignment="1" pivotButton="0" quotePrefix="0" xfId="0">
      <alignment horizontal="right" vertical="center"/>
    </xf>
    <xf numFmtId="3" fontId="13" fillId="0" borderId="0" applyAlignment="1" pivotButton="0" quotePrefix="0" xfId="0">
      <alignment horizontal="right" vertical="center"/>
    </xf>
    <xf numFmtId="164" fontId="13" fillId="0" borderId="19" applyAlignment="1" pivotButton="0" quotePrefix="0" xfId="0">
      <alignment horizontal="right" vertical="center"/>
    </xf>
    <xf numFmtId="164" fontId="24" fillId="0" borderId="14" applyAlignment="1" pivotButton="0" quotePrefix="0" xfId="0">
      <alignment horizontal="right" vertical="center"/>
    </xf>
    <xf numFmtId="0" fontId="22" fillId="0" borderId="20" applyAlignment="1" pivotButton="0" quotePrefix="0" xfId="0">
      <alignment horizontal="left" vertical="center"/>
    </xf>
    <xf numFmtId="3" fontId="22" fillId="0" borderId="0" applyAlignment="1" pivotButton="0" quotePrefix="0" xfId="0">
      <alignment horizontal="right" vertical="center"/>
    </xf>
    <xf numFmtId="3" fontId="13" fillId="0" borderId="18" applyAlignment="1" pivotButton="0" quotePrefix="0" xfId="0">
      <alignment horizontal="right" vertical="center"/>
    </xf>
    <xf numFmtId="3" fontId="16" fillId="0" borderId="16" applyAlignment="1" pivotButton="0" quotePrefix="0" xfId="0">
      <alignment horizontal="right" vertical="center"/>
    </xf>
    <xf numFmtId="0" fontId="17" fillId="4" borderId="2" applyAlignment="1" pivotButton="0" quotePrefix="0" xfId="0">
      <alignment horizontal="left" vertical="center"/>
    </xf>
    <xf numFmtId="3" fontId="25" fillId="4" borderId="2" applyAlignment="1" pivotButton="0" quotePrefix="0" xfId="0">
      <alignment horizontal="right" vertical="center"/>
    </xf>
    <xf numFmtId="0" fontId="6" fillId="4" borderId="2" applyAlignment="1" pivotButton="0" quotePrefix="0" xfId="0">
      <alignment horizontal="left" vertical="center"/>
    </xf>
    <xf numFmtId="0" fontId="17" fillId="4" borderId="18" applyAlignment="1" pivotButton="0" quotePrefix="0" xfId="0">
      <alignment horizontal="left" vertical="center"/>
    </xf>
    <xf numFmtId="3" fontId="17" fillId="4" borderId="18" applyAlignment="1" pivotButton="0" quotePrefix="0" xfId="0">
      <alignment horizontal="right" vertical="center"/>
    </xf>
    <xf numFmtId="0" fontId="22" fillId="4" borderId="18" applyAlignment="1" pivotButton="0" quotePrefix="0" xfId="0">
      <alignment horizontal="left" vertical="center"/>
    </xf>
    <xf numFmtId="3" fontId="17" fillId="4" borderId="2" applyAlignment="1" pivotButton="0" quotePrefix="0" xfId="0">
      <alignment horizontal="right" vertical="center"/>
    </xf>
    <xf numFmtId="0" fontId="22" fillId="4" borderId="2" applyAlignment="1" pivotButton="0" quotePrefix="0" xfId="0">
      <alignment horizontal="left" vertical="center"/>
    </xf>
    <xf numFmtId="0" fontId="17" fillId="4" borderId="0" applyAlignment="1" pivotButton="0" quotePrefix="0" xfId="0">
      <alignment horizontal="left" vertical="center"/>
    </xf>
    <xf numFmtId="3" fontId="12" fillId="4" borderId="0" applyAlignment="1" pivotButton="0" quotePrefix="0" xfId="0">
      <alignment horizontal="right" vertical="center"/>
    </xf>
    <xf numFmtId="0" fontId="6" fillId="4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  <xf numFmtId="164" fontId="13" fillId="0" borderId="2" applyAlignment="1" pivotButton="0" quotePrefix="0" xfId="0">
      <alignment horizontal="right" vertical="center"/>
    </xf>
    <xf numFmtId="165" fontId="22" fillId="0" borderId="2" applyAlignment="1" pivotButton="0" quotePrefix="0" xfId="0">
      <alignment horizontal="right" vertical="center"/>
    </xf>
    <xf numFmtId="165" fontId="22" fillId="0" borderId="19" applyAlignment="1" pivotButton="0" quotePrefix="0" xfId="0">
      <alignment horizontal="right" vertical="center"/>
    </xf>
    <xf numFmtId="0" fontId="0" fillId="0" borderId="0" pivotButton="0" quotePrefix="0" xfId="0"/>
    <xf numFmtId="164" fontId="13" fillId="0" borderId="19" applyAlignment="1" pivotButton="0" quotePrefix="0" xfId="0">
      <alignment horizontal="right" vertical="center"/>
    </xf>
    <xf numFmtId="165" fontId="22" fillId="0" borderId="19" applyAlignment="1" pivotButton="0" quotePrefix="0" xfId="0">
      <alignment horizontal="right" vertical="center"/>
    </xf>
    <xf numFmtId="164" fontId="13" fillId="0" borderId="2" applyAlignment="1" pivotButton="0" quotePrefix="0" xfId="0">
      <alignment horizontal="right" vertical="center"/>
    </xf>
    <xf numFmtId="165" fontId="6" fillId="0" borderId="2" applyAlignment="1" pivotButton="0" quotePrefix="0" xfId="0">
      <alignment horizontal="right" vertical="center"/>
    </xf>
    <xf numFmtId="164" fontId="12" fillId="4" borderId="2" applyAlignment="1" pivotButton="0" quotePrefix="0" xfId="0">
      <alignment horizontal="right" vertical="center"/>
    </xf>
    <xf numFmtId="165" fontId="17" fillId="4" borderId="2" applyAlignment="1" pivotButton="0" quotePrefix="0" xfId="0">
      <alignment horizontal="right" vertical="center"/>
    </xf>
    <xf numFmtId="0" fontId="22" fillId="0" borderId="0" applyAlignment="1" pivotButton="0" quotePrefix="0" xfId="0">
      <alignment vertical="center"/>
    </xf>
    <xf numFmtId="168" fontId="28" fillId="0" borderId="14" applyAlignment="1" pivotButton="0" quotePrefix="0" xfId="0">
      <alignment horizontal="right" vertical="center"/>
    </xf>
    <xf numFmtId="168" fontId="28" fillId="0" borderId="15" applyAlignment="1" pivotButton="0" quotePrefix="0" xfId="0">
      <alignment horizontal="right" vertical="center"/>
    </xf>
    <xf numFmtId="0" fontId="22" fillId="0" borderId="0" applyAlignment="1" pivotButton="0" quotePrefix="0" xfId="0">
      <alignment horizontal="center" vertical="center"/>
    </xf>
    <xf numFmtId="0" fontId="22" fillId="0" borderId="21" applyAlignment="1" pivotButton="0" quotePrefix="0" xfId="0">
      <alignment vertical="center"/>
    </xf>
    <xf numFmtId="3" fontId="22" fillId="0" borderId="20" applyAlignment="1" pivotButton="0" quotePrefix="0" xfId="0">
      <alignment horizontal="right" vertical="center"/>
    </xf>
    <xf numFmtId="0" fontId="6" fillId="0" borderId="2" applyAlignment="1" pivotButton="0" quotePrefix="0" xfId="0">
      <alignment horizontal="left" vertical="center"/>
    </xf>
    <xf numFmtId="165" fontId="13" fillId="0" borderId="14" applyAlignment="1" pivotButton="0" quotePrefix="0" xfId="0">
      <alignment horizontal="right" vertical="center"/>
    </xf>
    <xf numFmtId="165" fontId="13" fillId="0" borderId="16" applyAlignment="1" pivotButton="0" quotePrefix="0" xfId="0">
      <alignment horizontal="right" vertical="center"/>
    </xf>
    <xf numFmtId="169" fontId="13" fillId="0" borderId="14" applyAlignment="1" pivotButton="0" quotePrefix="0" xfId="0">
      <alignment horizontal="right" vertical="center"/>
    </xf>
    <xf numFmtId="169" fontId="13" fillId="0" borderId="20" applyAlignment="1" pivotButton="0" quotePrefix="0" xfId="0">
      <alignment horizontal="right" vertical="center"/>
    </xf>
    <xf numFmtId="169" fontId="13" fillId="0" borderId="2" applyAlignment="1" pivotButton="0" quotePrefix="0" xfId="0">
      <alignment horizontal="right" vertical="center"/>
    </xf>
    <xf numFmtId="1" fontId="9" fillId="0" borderId="14" applyAlignment="1" pivotButton="0" quotePrefix="0" xfId="0">
      <alignment horizontal="right" vertical="center"/>
    </xf>
    <xf numFmtId="165" fontId="9" fillId="0" borderId="16" applyAlignment="1" pivotButton="0" quotePrefix="0" xfId="0">
      <alignment horizontal="right" vertical="center"/>
    </xf>
    <xf numFmtId="1" fontId="16" fillId="0" borderId="14" applyAlignment="1" pivotButton="0" quotePrefix="0" xfId="0">
      <alignment horizontal="right" vertical="center"/>
    </xf>
    <xf numFmtId="165" fontId="16" fillId="0" borderId="16" applyAlignment="1" pivotButton="0" quotePrefix="0" xfId="0">
      <alignment horizontal="right" vertical="center"/>
    </xf>
    <xf numFmtId="170" fontId="28" fillId="0" borderId="14" applyAlignment="1" pivotButton="0" quotePrefix="0" xfId="0">
      <alignment horizontal="right" vertical="center"/>
    </xf>
    <xf numFmtId="170" fontId="28" fillId="0" borderId="15" applyAlignment="1" pivotButton="0" quotePrefix="0" xfId="0">
      <alignment horizontal="right" vertical="center"/>
    </xf>
    <xf numFmtId="170" fontId="28" fillId="0" borderId="16" applyAlignment="1" pivotButton="0" quotePrefix="0" xfId="0">
      <alignment horizontal="right" vertical="center"/>
    </xf>
    <xf numFmtId="0" fontId="9" fillId="5" borderId="1" applyAlignment="1" pivotButton="0" quotePrefix="0" xfId="0">
      <alignment horizontal="left" vertical="center"/>
    </xf>
    <xf numFmtId="3" fontId="9" fillId="5" borderId="1" applyAlignment="1" pivotButton="0" quotePrefix="0" xfId="0">
      <alignment horizontal="right" vertical="center"/>
    </xf>
    <xf numFmtId="0" fontId="9" fillId="5" borderId="1" applyAlignment="1" pivotButton="0" quotePrefix="0" xfId="0">
      <alignment horizontal="center" vertical="center"/>
    </xf>
    <xf numFmtId="165" fontId="23" fillId="3" borderId="1" applyAlignment="1" pivotButton="0" quotePrefix="0" xfId="0">
      <alignment horizontal="right" vertical="center"/>
    </xf>
    <xf numFmtId="3" fontId="23" fillId="3" borderId="1" applyAlignment="1" pivotButton="0" quotePrefix="0" xfId="0">
      <alignment horizontal="right" vertical="center"/>
    </xf>
  </cellXfs>
  <cellStyles count="3">
    <cellStyle name="標準" xfId="0" builtinId="0"/>
    <cellStyle name="桁区切り" xfId="1" builtinId="6"/>
    <cellStyle name="標準 2" xfId="2"/>
  </cellStyles>
  <dxfs count="6">
    <dxf>
      <font>
        <name val="Meiryo UI"/>
        <b val="1"/>
        <color rgb="FF9C0006"/>
      </font>
      <fill>
        <patternFill patternType="solid">
          <fgColor rgb="FFFFC7CE"/>
        </patternFill>
      </fill>
    </dxf>
    <dxf>
      <font>
        <name val="Meiryo UI"/>
        <b val="1"/>
        <color rgb="FF006100"/>
      </font>
      <fill>
        <patternFill patternType="solid">
          <fgColor rgb="FFC6EFCE"/>
        </patternFill>
      </fill>
    </dxf>
    <dxf>
      <font>
        <name val="Meiryo UI"/>
        <b val="1"/>
        <color rgb="FF9C0006"/>
      </font>
      <fill>
        <patternFill patternType="solid">
          <fgColor rgb="FFFFC7CE"/>
        </patternFill>
      </fill>
    </dxf>
    <dxf>
      <font>
        <name val="Meiryo UI"/>
        <b val="1"/>
        <color rgb="FF006100"/>
      </font>
      <fill>
        <patternFill patternType="solid">
          <fgColor rgb="FFC6EFCE"/>
        </patternFill>
      </fill>
    </dxf>
    <dxf>
      <font>
        <name val="Meiryo UI"/>
        <b val="1"/>
        <color rgb="FF9C0006"/>
      </font>
      <fill>
        <patternFill patternType="solid">
          <fgColor rgb="FFFFC7CE"/>
        </patternFill>
      </fill>
    </dxf>
    <dxf>
      <font>
        <name val="Meiryo UI"/>
        <b val="1"/>
        <color rgb="FF006100"/>
      </font>
      <fill>
        <patternFill patternType="solid">
          <fgColor rgb="FF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J38"/>
  <sheetViews>
    <sheetView showGridLines="0" workbookViewId="0">
      <selection activeCell="A1" sqref="A1"/>
    </sheetView>
  </sheetViews>
  <sheetFormatPr baseColWidth="8" defaultRowHeight="13"/>
  <cols>
    <col width="2.36328125" customWidth="1" style="158" min="1" max="3"/>
    <col width="10" customWidth="1" style="158" min="4" max="4"/>
    <col width="12.26953125" customWidth="1" style="158" min="5" max="10"/>
  </cols>
  <sheetData>
    <row r="2" ht="19.5" customHeight="1" s="158">
      <c r="B2" s="1" t="inlineStr">
        <is>
          <t>2-1. 実績集計 ― 元データと集計結果（SUMIFS）</t>
        </is>
      </c>
      <c r="C2" s="1" t="n"/>
    </row>
    <row r="3">
      <c r="B3" s="5" t="n"/>
      <c r="C3" s="5" t="n"/>
    </row>
    <row r="4">
      <c r="B4" s="5" t="n"/>
      <c r="C4" s="5" t="n"/>
    </row>
    <row r="5" ht="13.5" customHeight="1" s="158">
      <c r="C5" s="2" t="n"/>
      <c r="D5" s="16" t="inlineStr">
        <is>
          <t>① 元データ：予約明細</t>
        </is>
      </c>
      <c r="E5" s="17" t="n"/>
      <c r="F5" s="17" t="n"/>
      <c r="G5" s="17" t="n"/>
      <c r="H5" s="17" t="n"/>
      <c r="I5" s="17" t="n"/>
      <c r="J5" s="17" t="n"/>
    </row>
    <row r="6" ht="13.5" customHeight="1" s="158">
      <c r="C6" s="2" t="n"/>
      <c r="D6" s="2" t="n"/>
    </row>
    <row r="7" ht="13.5" customHeight="1" s="158">
      <c r="D7" s="33" t="inlineStr">
        <is>
          <t>予約ID</t>
        </is>
      </c>
      <c r="E7" s="33" t="inlineStr">
        <is>
          <t>施設</t>
        </is>
      </c>
      <c r="F7" s="33" t="inlineStr">
        <is>
          <t>月</t>
        </is>
      </c>
      <c r="G7" s="33" t="inlineStr">
        <is>
          <t>客室タイプ</t>
        </is>
      </c>
      <c r="H7" s="33" t="inlineStr">
        <is>
          <t>泊数</t>
        </is>
      </c>
      <c r="I7" s="33" t="inlineStr">
        <is>
          <t>宿泊人数</t>
        </is>
      </c>
      <c r="J7" s="33" t="inlineStr">
        <is>
          <t>売上(円)</t>
        </is>
      </c>
    </row>
    <row r="8" ht="13.5" customHeight="1" s="158">
      <c r="D8" s="61" t="inlineStr">
        <is>
          <t>R001</t>
        </is>
      </c>
      <c r="E8" s="61" t="inlineStr">
        <is>
          <t>西伊豆</t>
        </is>
      </c>
      <c r="F8" s="62" t="n">
        <v>7</v>
      </c>
      <c r="G8" s="61" t="inlineStr">
        <is>
          <t>スイート</t>
        </is>
      </c>
      <c r="H8" s="67" t="n">
        <v>2</v>
      </c>
      <c r="I8" s="53" t="n">
        <v>4</v>
      </c>
      <c r="J8" s="53" t="n">
        <v>160000</v>
      </c>
    </row>
    <row r="9" ht="13.5" customHeight="1" s="158">
      <c r="D9" s="63" t="inlineStr">
        <is>
          <t>R002</t>
        </is>
      </c>
      <c r="E9" s="63" t="inlineStr">
        <is>
          <t>西伊豆</t>
        </is>
      </c>
      <c r="F9" s="64" t="n">
        <v>7</v>
      </c>
      <c r="G9" s="63" t="inlineStr">
        <is>
          <t>スタンダード</t>
        </is>
      </c>
      <c r="H9" s="68" t="n">
        <v>3</v>
      </c>
      <c r="I9" s="55" t="n">
        <v>4</v>
      </c>
      <c r="J9" s="55" t="n">
        <v>108000</v>
      </c>
    </row>
    <row r="10" ht="13.5" customHeight="1" s="158">
      <c r="D10" s="63" t="inlineStr">
        <is>
          <t>R003</t>
        </is>
      </c>
      <c r="E10" s="63" t="inlineStr">
        <is>
          <t>熱海</t>
        </is>
      </c>
      <c r="F10" s="64" t="n">
        <v>7</v>
      </c>
      <c r="G10" s="63" t="inlineStr">
        <is>
          <t>スタンダード</t>
        </is>
      </c>
      <c r="H10" s="68" t="n">
        <v>2</v>
      </c>
      <c r="I10" s="55" t="n">
        <v>3</v>
      </c>
      <c r="J10" s="55" t="n">
        <v>72000</v>
      </c>
    </row>
    <row r="11" ht="13.5" customHeight="1" s="158">
      <c r="D11" s="63" t="inlineStr">
        <is>
          <t>R004</t>
        </is>
      </c>
      <c r="E11" s="63" t="inlineStr">
        <is>
          <t>西伊豆</t>
        </is>
      </c>
      <c r="F11" s="64" t="n">
        <v>8</v>
      </c>
      <c r="G11" s="63" t="inlineStr">
        <is>
          <t>スイート</t>
        </is>
      </c>
      <c r="H11" s="68" t="n">
        <v>2</v>
      </c>
      <c r="I11" s="55" t="n">
        <v>2</v>
      </c>
      <c r="J11" s="55" t="n">
        <v>180000</v>
      </c>
    </row>
    <row r="12" ht="13.5" customHeight="1" s="158">
      <c r="D12" s="63" t="inlineStr">
        <is>
          <t>R005</t>
        </is>
      </c>
      <c r="E12" s="63" t="inlineStr">
        <is>
          <t>熱海</t>
        </is>
      </c>
      <c r="F12" s="64" t="n">
        <v>8</v>
      </c>
      <c r="G12" s="63" t="inlineStr">
        <is>
          <t>スイート</t>
        </is>
      </c>
      <c r="H12" s="68" t="n">
        <v>1</v>
      </c>
      <c r="I12" s="55" t="n">
        <v>2</v>
      </c>
      <c r="J12" s="55" t="n">
        <v>95000</v>
      </c>
    </row>
    <row r="13" ht="13.5" customHeight="1" s="158">
      <c r="D13" s="63" t="inlineStr">
        <is>
          <t>R006</t>
        </is>
      </c>
      <c r="E13" s="63" t="inlineStr">
        <is>
          <t>西伊豆</t>
        </is>
      </c>
      <c r="F13" s="64" t="n">
        <v>7</v>
      </c>
      <c r="G13" s="63" t="inlineStr">
        <is>
          <t>スタンダード</t>
        </is>
      </c>
      <c r="H13" s="68" t="n">
        <v>1</v>
      </c>
      <c r="I13" s="55" t="n">
        <v>2</v>
      </c>
      <c r="J13" s="55" t="n">
        <v>36000</v>
      </c>
    </row>
    <row r="14" ht="13.5" customHeight="1" s="158">
      <c r="D14" s="63" t="inlineStr">
        <is>
          <t>R007</t>
        </is>
      </c>
      <c r="E14" s="63" t="inlineStr">
        <is>
          <t>熱海</t>
        </is>
      </c>
      <c r="F14" s="64" t="n">
        <v>8</v>
      </c>
      <c r="G14" s="63" t="inlineStr">
        <is>
          <t>スタンダード</t>
        </is>
      </c>
      <c r="H14" s="68" t="n">
        <v>4</v>
      </c>
      <c r="I14" s="55" t="n">
        <v>6</v>
      </c>
      <c r="J14" s="55" t="n">
        <v>152000</v>
      </c>
    </row>
    <row r="15" ht="13.5" customHeight="1" s="158">
      <c r="D15" s="63" t="inlineStr">
        <is>
          <t>R008</t>
        </is>
      </c>
      <c r="E15" s="63" t="inlineStr">
        <is>
          <t>西伊豆</t>
        </is>
      </c>
      <c r="F15" s="64" t="n">
        <v>8</v>
      </c>
      <c r="G15" s="63" t="inlineStr">
        <is>
          <t>スタンダード</t>
        </is>
      </c>
      <c r="H15" s="68" t="n">
        <v>2</v>
      </c>
      <c r="I15" s="55" t="n">
        <v>3</v>
      </c>
      <c r="J15" s="55" t="n">
        <v>74000</v>
      </c>
    </row>
    <row r="16" ht="13.5" customHeight="1" s="158">
      <c r="D16" s="63" t="inlineStr">
        <is>
          <t>R009</t>
        </is>
      </c>
      <c r="E16" s="63" t="inlineStr">
        <is>
          <t>熱海</t>
        </is>
      </c>
      <c r="F16" s="64" t="n">
        <v>7</v>
      </c>
      <c r="G16" s="63" t="inlineStr">
        <is>
          <t>スイート</t>
        </is>
      </c>
      <c r="H16" s="68" t="n">
        <v>1</v>
      </c>
      <c r="I16" s="55" t="n">
        <v>2</v>
      </c>
      <c r="J16" s="55" t="n">
        <v>92000</v>
      </c>
    </row>
    <row r="17" ht="13.5" customHeight="1" s="158">
      <c r="D17" s="65" t="inlineStr">
        <is>
          <t>R010</t>
        </is>
      </c>
      <c r="E17" s="65" t="inlineStr">
        <is>
          <t>西伊豆</t>
        </is>
      </c>
      <c r="F17" s="66" t="n">
        <v>8</v>
      </c>
      <c r="G17" s="65" t="inlineStr">
        <is>
          <t>スイート</t>
        </is>
      </c>
      <c r="H17" s="69" t="n">
        <v>3</v>
      </c>
      <c r="I17" s="57" t="n">
        <v>5</v>
      </c>
      <c r="J17" s="57" t="n">
        <v>270000</v>
      </c>
    </row>
    <row r="21" ht="13.5" customHeight="1" s="158">
      <c r="C21" s="2" t="n"/>
      <c r="D21" s="16" t="inlineStr">
        <is>
          <t>② 集計：施設別×月別の売上（=SUMIFS）</t>
        </is>
      </c>
      <c r="E21" s="17" t="n"/>
      <c r="F21" s="17" t="n"/>
      <c r="G21" s="17" t="n"/>
      <c r="H21" s="17" t="n"/>
      <c r="I21" s="17" t="n"/>
      <c r="J21" s="17" t="n"/>
    </row>
    <row r="22" ht="13.5" customHeight="1" s="158">
      <c r="C22" s="2" t="n"/>
      <c r="D22" s="2" t="n"/>
    </row>
    <row r="23" ht="13.5" customHeight="1" s="158">
      <c r="D23" s="6" t="inlineStr">
        <is>
          <t>施設＼月</t>
        </is>
      </c>
      <c r="E23" s="6" t="n">
        <v>7</v>
      </c>
      <c r="F23" s="6" t="n">
        <v>8</v>
      </c>
      <c r="G23" s="6" t="inlineStr">
        <is>
          <t>合計</t>
        </is>
      </c>
    </row>
    <row r="24" ht="13.5" customHeight="1" s="158">
      <c r="D24" s="61" t="inlineStr">
        <is>
          <t>西伊豆</t>
        </is>
      </c>
      <c r="E24" s="72">
        <f>SUMIFS($J$8:$J$17,$E$8:$E$17,$D24,$F$8:$F$17,E$23)</f>
        <v/>
      </c>
      <c r="F24" s="70">
        <f>SUMIFS($J$8:$J$17,$E$8:$E$17,$D24,$F$8:$F$17,F$23)</f>
        <v/>
      </c>
      <c r="G24" s="72">
        <f>SUM(E24:F24)</f>
        <v/>
      </c>
    </row>
    <row r="25" ht="13.5" customHeight="1" s="158">
      <c r="D25" s="65" t="inlineStr">
        <is>
          <t>熱海</t>
        </is>
      </c>
      <c r="E25" s="73">
        <f>SUMIFS($J$8:$J$17,$E$8:$E$17,$D25,$F$8:$F$17,E$23)</f>
        <v/>
      </c>
      <c r="F25" s="71">
        <f>SUMIFS($J$8:$J$17,$E$8:$E$17,$D25,$F$8:$F$17,F$23)</f>
        <v/>
      </c>
      <c r="G25" s="73">
        <f>SUM(E25:F25)</f>
        <v/>
      </c>
    </row>
    <row r="26" ht="13.5" customHeight="1" s="158">
      <c r="D26" s="60" t="inlineStr">
        <is>
          <t>合計</t>
        </is>
      </c>
      <c r="E26" s="74">
        <f>SUM(E24:E25)</f>
        <v/>
      </c>
      <c r="F26" s="74">
        <f>SUM(F24:F25)</f>
        <v/>
      </c>
      <c r="G26" s="74">
        <f>SUM(G24:G25)</f>
        <v/>
      </c>
    </row>
    <row r="27">
      <c r="D27" s="3" t="inlineStr">
        <is>
          <t>例）D20 = =SUMIFS(売上, 施設, 西伊豆, 月, 7) 。元データを1行足すだけで自動更新。</t>
        </is>
      </c>
    </row>
    <row r="32" ht="13.5" customHeight="1" s="158">
      <c r="D32" s="16" t="inlineStr">
        <is>
          <t>③ 集計：客室タイプ別ADR（売上計÷泊数計）</t>
        </is>
      </c>
      <c r="E32" s="17" t="n"/>
      <c r="F32" s="17" t="n"/>
      <c r="G32" s="17" t="n"/>
      <c r="H32" s="17" t="n"/>
      <c r="I32" s="17" t="n"/>
      <c r="J32" s="17" t="n"/>
    </row>
    <row r="33" ht="13.5" customHeight="1" s="158">
      <c r="D33" s="2" t="n"/>
    </row>
    <row r="34" ht="13.5" customHeight="1" s="158">
      <c r="D34" s="6" t="inlineStr">
        <is>
          <t>客室タイプ</t>
        </is>
      </c>
      <c r="E34" s="6" t="inlineStr">
        <is>
          <t>売上計(円)</t>
        </is>
      </c>
      <c r="F34" s="6" t="inlineStr">
        <is>
          <t>泊数計(泊)</t>
        </is>
      </c>
      <c r="G34" s="6" t="inlineStr">
        <is>
          <t>ADR(円)</t>
        </is>
      </c>
    </row>
    <row r="35" ht="13.5" customHeight="1" s="158">
      <c r="D35" s="61" t="inlineStr">
        <is>
          <t>スイート</t>
        </is>
      </c>
      <c r="E35" s="72">
        <f>SUMIFS($J$8:$J$17,$G$8:$G$17,D35)</f>
        <v/>
      </c>
      <c r="F35" s="70">
        <f>SUMIFS($H$8:$H$17,$G$8:$G$17,D35)</f>
        <v/>
      </c>
      <c r="G35" s="72">
        <f>E35/F35</f>
        <v/>
      </c>
    </row>
    <row r="36" ht="13.5" customHeight="1" s="158">
      <c r="D36" s="65" t="inlineStr">
        <is>
          <t>スタンダード</t>
        </is>
      </c>
      <c r="E36" s="73">
        <f>SUMIFS($J$8:$J$17,$G$8:$G$17,D36)</f>
        <v/>
      </c>
      <c r="F36" s="71">
        <f>SUMIFS($H$8:$H$17,$G$8:$G$17,D36)</f>
        <v/>
      </c>
      <c r="G36" s="73">
        <f>E36/F36</f>
        <v/>
      </c>
    </row>
    <row r="37" ht="13.5" customHeight="1" s="158">
      <c r="D37" s="60" t="n"/>
      <c r="E37" s="74" t="n"/>
      <c r="F37" s="74" t="n"/>
      <c r="G37" s="74" t="n"/>
    </row>
    <row r="38">
      <c r="D38" s="3" t="inlineStr">
        <is>
          <t>ADR＝客室売上÷販売室数(泊数)。SUMIFSで分子・分母を集計して割るだけ。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2026-07-20T16:11:38Z</dcterms:created>
  <dcterms:modified xsi:type="dcterms:W3CDTF">2026-07-21T02:30:59Z</dcterms:modified>
  <cp:lastModifiedBy>ARTH.inc</cp:lastModifiedBy>
</cp:coreProperties>
</file>