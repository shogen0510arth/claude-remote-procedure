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280" windowWidth="17320" windowHeight="10400" tabRatio="773" firstSheet="2" activeTab="0" autoFilterDateGrouping="1"/>
  </bookViews>
  <sheets>
    <sheet name="2-1_実績集計_XLOOK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"/>
    <numFmt numFmtId="167" formatCode="#,##0%;[Red]\-#,##0%"/>
    <numFmt numFmtId="168" formatCode="#,##0.00000"/>
    <numFmt numFmtId="169" formatCode="#,##0.0%;[Red]\-#,##0.0%"/>
    <numFmt numFmtId="170" formatCode="0.000"/>
  </numFmts>
  <fonts count="29">
    <font>
      <name val="ＭＳ Ｐゴシック"/>
      <family val="2"/>
      <color theme="1"/>
      <sz val="11"/>
      <scheme val="minor"/>
    </font>
    <font>
      <name val="Meiryo UI"/>
      <charset val="128"/>
      <family val="2"/>
      <color theme="1"/>
      <sz val="11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666666"/>
      <sz val="9"/>
    </font>
    <font>
      <name val="Meiryo UI"/>
      <charset val="128"/>
      <family val="3"/>
      <b val="1"/>
      <color rgb="FF1F3A4D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0000FF"/>
      <sz val="10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indexed="8"/>
      <sz val="10"/>
    </font>
    <font>
      <name val="Meiryo UI"/>
      <charset val="128"/>
      <family val="3"/>
      <color indexed="8"/>
      <sz val="10"/>
    </font>
    <font>
      <name val="ＭＳ Ｐゴシック"/>
      <family val="2"/>
      <color rgb="FFFFFFFF"/>
      <sz val="11"/>
      <scheme val="minor"/>
    </font>
    <font>
      <name val="ＭＳ Ｐゴシック"/>
      <family val="2"/>
      <color indexed="8"/>
      <sz val="11"/>
      <scheme val="minor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80808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0000FF"/>
      <sz val="10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1F3F5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10" fillId="0" borderId="0"/>
    <xf numFmtId="38" fontId="10" fillId="0" borderId="0" applyAlignment="1">
      <alignment vertical="center"/>
    </xf>
    <xf numFmtId="0" fontId="1" fillId="0" borderId="0" applyAlignment="1">
      <alignment vertical="center"/>
    </xf>
    <xf numFmtId="9" fontId="10" fillId="0" borderId="0" applyAlignment="1">
      <alignment vertical="center"/>
    </xf>
  </cellStyleXfs>
  <cellXfs count="192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3" fontId="6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9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14" fillId="6" borderId="0" pivotButton="0" quotePrefix="0" xfId="0"/>
    <xf numFmtId="0" fontId="8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0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3" fontId="13" fillId="0" borderId="1" applyAlignment="1" pivotButton="0" quotePrefix="0" xfId="0">
      <alignment vertical="center"/>
    </xf>
    <xf numFmtId="2" fontId="13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Continuous" vertical="center"/>
    </xf>
    <xf numFmtId="0" fontId="15" fillId="0" borderId="0" pivotButton="0" quotePrefix="0" xfId="0"/>
    <xf numFmtId="0" fontId="6" fillId="5" borderId="4" applyAlignment="1" pivotButton="0" quotePrefix="0" xfId="0">
      <alignment horizontal="left" vertical="center"/>
    </xf>
    <xf numFmtId="3" fontId="6" fillId="5" borderId="7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/>
    </xf>
    <xf numFmtId="3" fontId="6" fillId="5" borderId="8" applyAlignment="1" pivotButton="0" quotePrefix="0" xfId="0">
      <alignment horizontal="right" vertical="center"/>
    </xf>
    <xf numFmtId="0" fontId="6" fillId="5" borderId="6" applyAlignment="1" pivotButton="0" quotePrefix="0" xfId="0">
      <alignment horizontal="left" vertical="center"/>
    </xf>
    <xf numFmtId="3" fontId="6" fillId="5" borderId="9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3" fontId="9" fillId="0" borderId="7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3" fontId="9" fillId="0" borderId="8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3" fontId="9" fillId="0" borderId="9" applyAlignment="1" pivotButton="0" quotePrefix="0" xfId="0">
      <alignment horizontal="right" vertical="center"/>
    </xf>
    <xf numFmtId="3" fontId="9" fillId="0" borderId="6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3" fontId="6" fillId="5" borderId="4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38" fontId="13" fillId="0" borderId="4" applyAlignment="1" pivotButton="0" quotePrefix="0" xfId="1">
      <alignment vertical="center"/>
    </xf>
    <xf numFmtId="38" fontId="13" fillId="0" borderId="6" applyAlignment="1" pivotButton="0" quotePrefix="0" xfId="1">
      <alignment vertical="center"/>
    </xf>
    <xf numFmtId="38" fontId="13" fillId="0" borderId="7" applyAlignment="1" pivotButton="0" quotePrefix="0" xfId="1">
      <alignment vertical="center"/>
    </xf>
    <xf numFmtId="38" fontId="13" fillId="0" borderId="9" applyAlignment="1" pivotButton="0" quotePrefix="0" xfId="1">
      <alignment vertical="center"/>
    </xf>
    <xf numFmtId="38" fontId="13" fillId="0" borderId="2" applyAlignment="1" pivotButton="0" quotePrefix="0" xfId="1">
      <alignment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3" fontId="22" fillId="0" borderId="14" applyAlignment="1" pivotButton="0" quotePrefix="0" xfId="0">
      <alignment horizontal="right" vertical="center"/>
    </xf>
    <xf numFmtId="0" fontId="22" fillId="0" borderId="17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/>
    </xf>
    <xf numFmtId="3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left" vertical="center"/>
    </xf>
    <xf numFmtId="3" fontId="22" fillId="0" borderId="16" applyAlignment="1" pivotButton="0" quotePrefix="0" xfId="0">
      <alignment horizontal="right" vertical="center"/>
    </xf>
    <xf numFmtId="3" fontId="23" fillId="3" borderId="14" applyAlignment="1" pivotButton="0" quotePrefix="0" xfId="0">
      <alignment horizontal="right" vertical="center"/>
    </xf>
    <xf numFmtId="0" fontId="22" fillId="0" borderId="14" applyAlignment="1" pivotButton="0" quotePrefix="0" xfId="0">
      <alignment horizontal="center" vertical="center"/>
    </xf>
    <xf numFmtId="3" fontId="23" fillId="3" borderId="15" applyAlignment="1" pivotButton="0" quotePrefix="0" xfId="0">
      <alignment horizontal="right" vertical="center"/>
    </xf>
    <xf numFmtId="0" fontId="22" fillId="0" borderId="15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3" fontId="23" fillId="3" borderId="16" applyAlignment="1" pivotButton="0" quotePrefix="0" xfId="0">
      <alignment horizontal="right" vertical="center"/>
    </xf>
    <xf numFmtId="0" fontId="22" fillId="0" borderId="16" applyAlignment="1" pivotButton="0" quotePrefix="0" xfId="0">
      <alignment horizontal="center" vertical="center"/>
    </xf>
    <xf numFmtId="165" fontId="23" fillId="3" borderId="14" applyAlignment="1" pivotButton="0" quotePrefix="0" xfId="0">
      <alignment horizontal="right" vertical="center"/>
    </xf>
    <xf numFmtId="3" fontId="24" fillId="0" borderId="14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25" fillId="0" borderId="14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2" fillId="0" borderId="15" applyAlignment="1" pivotButton="0" quotePrefix="0" xfId="0">
      <alignment horizontal="right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center"/>
    </xf>
    <xf numFmtId="0" fontId="26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0" borderId="17" applyAlignment="1" pivotButton="0" quotePrefix="1" xfId="0">
      <alignment horizontal="left" vertical="center"/>
    </xf>
    <xf numFmtId="0" fontId="6" fillId="0" borderId="15" applyAlignment="1" pivotButton="0" quotePrefix="0" xfId="0">
      <alignment horizontal="left" vertical="center"/>
    </xf>
    <xf numFmtId="3" fontId="16" fillId="0" borderId="14" applyAlignment="1" pivotButton="0" quotePrefix="0" xfId="0">
      <alignment horizontal="right" vertical="center"/>
    </xf>
    <xf numFmtId="0" fontId="1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0" fontId="13" fillId="0" borderId="15" applyAlignment="1" pivotButton="0" quotePrefix="0" xfId="0">
      <alignment horizontal="left" vertical="center"/>
    </xf>
    <xf numFmtId="3" fontId="16" fillId="0" borderId="15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167" fontId="16" fillId="0" borderId="20" applyAlignment="1" pivotButton="0" quotePrefix="0" xfId="0">
      <alignment horizontal="right" vertical="center"/>
    </xf>
    <xf numFmtId="3" fontId="24" fillId="0" borderId="2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right" vertical="center"/>
    </xf>
    <xf numFmtId="0" fontId="22" fillId="0" borderId="1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3" fontId="24" fillId="0" borderId="17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3" fontId="24" fillId="0" borderId="16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3" fontId="22" fillId="0" borderId="0" applyAlignment="1" pivotButton="0" quotePrefix="0" xfId="0">
      <alignment horizontal="right" vertical="center"/>
    </xf>
    <xf numFmtId="3" fontId="13" fillId="0" borderId="18" applyAlignment="1" pivotButton="0" quotePrefix="0" xfId="0">
      <alignment horizontal="right" vertical="center"/>
    </xf>
    <xf numFmtId="3" fontId="16" fillId="0" borderId="16" applyAlignment="1" pivotButton="0" quotePrefix="0" xfId="0">
      <alignment horizontal="right" vertical="center"/>
    </xf>
    <xf numFmtId="0" fontId="17" fillId="4" borderId="2" applyAlignment="1" pivotButton="0" quotePrefix="0" xfId="0">
      <alignment horizontal="left" vertical="center"/>
    </xf>
    <xf numFmtId="3" fontId="2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7" fillId="4" borderId="18" applyAlignment="1" pivotButton="0" quotePrefix="0" xfId="0">
      <alignment horizontal="left" vertical="center"/>
    </xf>
    <xf numFmtId="3" fontId="17" fillId="4" borderId="18" applyAlignment="1" pivotButton="0" quotePrefix="0" xfId="0">
      <alignment horizontal="right" vertical="center"/>
    </xf>
    <xf numFmtId="0" fontId="22" fillId="4" borderId="18" applyAlignment="1" pivotButton="0" quotePrefix="0" xfId="0">
      <alignment horizontal="left" vertical="center"/>
    </xf>
    <xf numFmtId="3" fontId="17" fillId="4" borderId="2" applyAlignment="1" pivotButton="0" quotePrefix="0" xfId="0">
      <alignment horizontal="right" vertical="center"/>
    </xf>
    <xf numFmtId="0" fontId="22" fillId="4" borderId="2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3" fontId="12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0" fontId="22" fillId="0" borderId="21" applyAlignment="1" pivotButton="0" quotePrefix="0" xfId="0">
      <alignment vertical="center"/>
    </xf>
    <xf numFmtId="3" fontId="22" fillId="0" borderId="20" applyAlignment="1" pivotButton="0" quotePrefix="0" xfId="0">
      <alignment horizontal="righ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" fontId="9" fillId="0" borderId="14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" fontId="16" fillId="0" borderId="14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  <xf numFmtId="0" fontId="13" fillId="0" borderId="16" applyAlignment="1" pivotButton="0" quotePrefix="0" xfId="0">
      <alignment horizontal="left" vertical="center"/>
    </xf>
    <xf numFmtId="0" fontId="13" fillId="0" borderId="21" applyAlignment="1" pivotButton="0" quotePrefix="0" xfId="0">
      <alignment vertical="center"/>
    </xf>
    <xf numFmtId="0" fontId="13" fillId="0" borderId="21" applyAlignment="1" pivotButton="0" quotePrefix="0" xfId="0">
      <alignment horizontal="left" vertical="center"/>
    </xf>
    <xf numFmtId="3" fontId="13" fillId="0" borderId="21" applyAlignment="1" pivotButton="0" quotePrefix="0" xfId="0">
      <alignment horizontal="right" vertical="center"/>
    </xf>
    <xf numFmtId="0" fontId="13" fillId="0" borderId="14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9" fontId="13" fillId="0" borderId="7" applyAlignment="1" pivotButton="0" quotePrefix="0" xfId="3">
      <alignment vertical="center"/>
    </xf>
    <xf numFmtId="0" fontId="13" fillId="0" borderId="15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9" fontId="13" fillId="0" borderId="8" applyAlignment="1" pivotButton="0" quotePrefix="0" xfId="3">
      <alignment vertical="center"/>
    </xf>
    <xf numFmtId="0" fontId="13" fillId="0" borderId="16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9" fontId="13" fillId="0" borderId="9" applyAlignment="1" pivotButton="0" quotePrefix="0" xfId="3">
      <alignment vertical="center"/>
    </xf>
    <xf numFmtId="38" fontId="13" fillId="0" borderId="14" applyAlignment="1" pivotButton="0" quotePrefix="0" xfId="0">
      <alignment vertical="center"/>
    </xf>
    <xf numFmtId="38" fontId="13" fillId="0" borderId="15" applyAlignment="1" pivotButton="0" quotePrefix="0" xfId="0">
      <alignment vertical="center"/>
    </xf>
    <xf numFmtId="38" fontId="13" fillId="0" borderId="16" applyAlignment="1" pivotButton="0" quotePrefix="0" xfId="0">
      <alignment vertical="center"/>
    </xf>
    <xf numFmtId="38" fontId="13" fillId="0" borderId="7" applyAlignment="1" pivotButton="0" quotePrefix="0" xfId="0">
      <alignment vertical="center"/>
    </xf>
    <xf numFmtId="38" fontId="13" fillId="0" borderId="8" applyAlignment="1" pivotButton="0" quotePrefix="0" xfId="0">
      <alignment vertical="center"/>
    </xf>
    <xf numFmtId="38" fontId="13" fillId="0" borderId="9" applyAlignment="1" pivotButton="0" quotePrefix="0" xfId="0">
      <alignment vertical="center"/>
    </xf>
    <xf numFmtId="0" fontId="13" fillId="0" borderId="21" applyAlignment="1" pivotButton="0" quotePrefix="0" xfId="0">
      <alignment horizontal="center" vertical="center"/>
    </xf>
    <xf numFmtId="38" fontId="9" fillId="5" borderId="1" applyAlignment="1" pivotButton="0" quotePrefix="0" xfId="1">
      <alignment vertical="center"/>
    </xf>
    <xf numFmtId="0" fontId="6" fillId="0" borderId="0" applyAlignment="1" pivotButton="0" quotePrefix="1" xfId="0">
      <alignment horizontal="left" vertical="center"/>
    </xf>
    <xf numFmtId="0" fontId="12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0" pivotButton="0" quotePrefix="0" xfId="0"/>
  </cellXfs>
  <cellStyles count="4">
    <cellStyle name="標準" xfId="0" builtinId="0"/>
    <cellStyle name="桁区切り" xfId="1" builtinId="6"/>
    <cellStyle name="標準 2" xfId="2"/>
    <cellStyle name="パーセント" xfId="3" builtinId="5"/>
  </cellStyles>
  <dxfs count="6"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1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10" customWidth="1" min="4" max="4"/>
    <col width="12.26953125" customWidth="1" min="5" max="10"/>
    <col width="9.453125" bestFit="1" customWidth="1" min="11" max="11"/>
  </cols>
  <sheetData>
    <row r="2" ht="19.5" customHeight="1">
      <c r="B2" s="1" t="inlineStr">
        <is>
          <t>2-1. 実績集計 ― 元データと集計結果（XLOOKUP）</t>
        </is>
      </c>
      <c r="C2" s="1" t="n"/>
    </row>
    <row r="3">
      <c r="B3" s="5" t="n"/>
      <c r="C3" s="5" t="n"/>
    </row>
    <row r="4">
      <c r="B4" s="5" t="n"/>
      <c r="C4" s="5" t="n"/>
    </row>
    <row r="5" ht="13.5" customHeight="1">
      <c r="C5" s="2" t="n"/>
      <c r="D5" s="16" t="inlineStr">
        <is>
          <t>① 元データ：予約明細</t>
        </is>
      </c>
      <c r="E5" s="17" t="n"/>
      <c r="F5" s="17" t="n"/>
      <c r="G5" s="17" t="n"/>
      <c r="H5" s="17" t="n"/>
      <c r="I5" s="17" t="n"/>
      <c r="J5" s="17" t="n"/>
      <c r="K5" s="17" t="n"/>
    </row>
    <row r="6" ht="13.5" customHeight="1">
      <c r="C6" s="2" t="n"/>
      <c r="D6" s="2" t="n"/>
    </row>
    <row r="7" ht="13.5" customHeight="1">
      <c r="D7" s="168" t="inlineStr">
        <is>
          <t>行</t>
        </is>
      </c>
      <c r="E7" s="168" t="inlineStr">
        <is>
          <t>B 商品コード</t>
        </is>
      </c>
      <c r="F7" s="168" t="inlineStr">
        <is>
          <t>D 数量</t>
        </is>
      </c>
      <c r="G7" s="168" t="inlineStr">
        <is>
          <t>F 売上(円)</t>
        </is>
      </c>
    </row>
    <row r="8" ht="13.5" customHeight="1">
      <c r="D8" s="169" t="n">
        <v>2</v>
      </c>
      <c r="E8" s="169" t="inlineStr">
        <is>
          <t>F-102</t>
        </is>
      </c>
      <c r="F8" s="169" t="n">
        <v>4</v>
      </c>
      <c r="G8" s="170" t="n">
        <v>32000</v>
      </c>
    </row>
    <row r="9" ht="13.5" customHeight="1">
      <c r="D9" s="169" t="n">
        <v>3</v>
      </c>
      <c r="E9" s="169" t="inlineStr">
        <is>
          <t>F-101</t>
        </is>
      </c>
      <c r="F9" s="169" t="n">
        <v>6</v>
      </c>
      <c r="G9" s="170" t="n">
        <v>27000</v>
      </c>
    </row>
    <row r="10" ht="13.5" customHeight="1">
      <c r="D10" s="169" t="n">
        <v>4</v>
      </c>
      <c r="E10" s="169" t="inlineStr">
        <is>
          <t>F-103</t>
        </is>
      </c>
      <c r="F10" s="169" t="n">
        <v>5</v>
      </c>
      <c r="G10" s="170" t="n">
        <v>19000</v>
      </c>
    </row>
    <row r="11" ht="13.5" customHeight="1">
      <c r="D11" s="169" t="n">
        <v>5</v>
      </c>
      <c r="E11" s="169" t="inlineStr">
        <is>
          <t>F-999</t>
        </is>
      </c>
      <c r="F11" s="169" t="n">
        <v>2</v>
      </c>
      <c r="G11" s="170" t="n">
        <v>12000</v>
      </c>
    </row>
    <row r="15" ht="13.5" customHeight="1">
      <c r="C15" s="2" t="n"/>
      <c r="D15" s="16" t="inlineStr">
        <is>
          <t>② 元データ：マスター</t>
        </is>
      </c>
      <c r="E15" s="17" t="n"/>
      <c r="F15" s="17" t="n"/>
      <c r="G15" s="17" t="n"/>
      <c r="H15" s="17" t="n"/>
      <c r="I15" s="17" t="n"/>
      <c r="J15" s="17" t="n"/>
      <c r="K15" s="17" t="n"/>
    </row>
    <row r="16" ht="13.5" customHeight="1">
      <c r="C16" s="2" t="n"/>
      <c r="D16" s="2" t="n"/>
    </row>
    <row r="17" ht="13.5" customHeight="1">
      <c r="D17" s="6" t="inlineStr">
        <is>
          <t>A 商品コード</t>
        </is>
      </c>
      <c r="E17" s="6" t="inlineStr">
        <is>
          <t>B 商品名</t>
        </is>
      </c>
      <c r="F17" s="6" t="inlineStr">
        <is>
          <t>C 原価(円)</t>
        </is>
      </c>
    </row>
    <row r="18" ht="13.5" customHeight="1">
      <c r="D18" s="162" t="inlineStr">
        <is>
          <t>F-101</t>
        </is>
      </c>
      <c r="E18" s="187" t="inlineStr">
        <is>
          <t>金目鯛煮付</t>
        </is>
      </c>
      <c r="F18" s="187" t="n">
        <v>1800</v>
      </c>
    </row>
    <row r="19" ht="13.5" customHeight="1">
      <c r="D19" s="162" t="inlineStr">
        <is>
          <t>F-102</t>
        </is>
      </c>
      <c r="E19" s="187" t="inlineStr">
        <is>
          <t>鮑ステーキ</t>
        </is>
      </c>
      <c r="F19" s="187" t="n">
        <v>3200</v>
      </c>
    </row>
    <row r="20" ht="13.5" customHeight="1">
      <c r="D20" s="162" t="inlineStr">
        <is>
          <t>F-103</t>
        </is>
      </c>
      <c r="E20" s="187" t="inlineStr">
        <is>
          <t>地魚刺身盛</t>
        </is>
      </c>
      <c r="F20" s="187" t="n">
        <v>1500</v>
      </c>
    </row>
    <row r="25" ht="13.5" customHeight="1">
      <c r="D25" s="16" t="inlineStr">
        <is>
          <t>③ 集計：商品別売上と原価率</t>
        </is>
      </c>
      <c r="E25" s="17" t="n"/>
      <c r="F25" s="17" t="n"/>
      <c r="G25" s="17" t="n"/>
      <c r="H25" s="17" t="n"/>
      <c r="I25" s="17" t="n"/>
      <c r="J25" s="17" t="n"/>
      <c r="K25" s="17" t="n"/>
    </row>
    <row r="26" ht="13.5" customHeight="1">
      <c r="D26" s="2" t="n"/>
    </row>
    <row r="27" ht="13.5" customHeight="1">
      <c r="D27" s="6" t="inlineStr">
        <is>
          <t>行</t>
        </is>
      </c>
      <c r="E27" s="6" t="inlineStr">
        <is>
          <t>B 商品コード</t>
        </is>
      </c>
      <c r="F27" s="6" t="inlineStr">
        <is>
          <t>C 商品名</t>
        </is>
      </c>
      <c r="G27" s="6" t="inlineStr">
        <is>
          <t>D 数量</t>
        </is>
      </c>
      <c r="H27" s="6" t="inlineStr">
        <is>
          <t>E 原価単価(円)</t>
        </is>
      </c>
      <c r="I27" s="6" t="inlineStr">
        <is>
          <t>F 原価計(円)</t>
        </is>
      </c>
      <c r="J27" s="6" t="inlineStr">
        <is>
          <t>売上</t>
        </is>
      </c>
      <c r="K27" s="6" t="inlineStr">
        <is>
          <t>原価率</t>
        </is>
      </c>
    </row>
    <row r="28" ht="13.5" customHeight="1">
      <c r="D28" s="101" t="n">
        <v>2</v>
      </c>
      <c r="E28" s="172" t="inlineStr">
        <is>
          <t>F-102</t>
        </is>
      </c>
      <c r="F28" s="172">
        <f>_xlfn.XLOOKUP($E28,$D$17:$D$20,E$17:E$20,"該当なし")</f>
        <v/>
      </c>
      <c r="G28" s="171">
        <f>SUMIFS($F$8:$F$11,$E$8:$E$11,E28)</f>
        <v/>
      </c>
      <c r="H28" s="180">
        <f>_xlfn.XLOOKUP($E28,$D$17:$D$20,F$17:F$20,"該当なし")</f>
        <v/>
      </c>
      <c r="I28" s="183">
        <f>IFERROR(G28*H28,"-")</f>
        <v/>
      </c>
      <c r="J28" s="183">
        <f>SUMIFS($G$8:$G$11,$E$8:$E$11,E28)</f>
        <v/>
      </c>
      <c r="K28" s="173">
        <f>IFERROR(I28/J28,"-")</f>
        <v/>
      </c>
    </row>
    <row r="29" ht="13.5" customHeight="1">
      <c r="D29" s="104" t="n">
        <v>3</v>
      </c>
      <c r="E29" s="175" t="inlineStr">
        <is>
          <t>F-101</t>
        </is>
      </c>
      <c r="F29" s="175">
        <f>_xlfn.XLOOKUP($E29,$D$17:$D$20,E$17:E$20,"該当なし")</f>
        <v/>
      </c>
      <c r="G29" s="174">
        <f>SUMIFS($F$8:$F$11,$E$8:$E$11,E29)</f>
        <v/>
      </c>
      <c r="H29" s="181">
        <f>_xlfn.XLOOKUP($E29,$D$17:$D$20,F$17:F$20,"該当なし")</f>
        <v/>
      </c>
      <c r="I29" s="184">
        <f>IFERROR(G29*H29,"-")</f>
        <v/>
      </c>
      <c r="J29" s="184">
        <f>SUMIFS($G$8:$G$11,$E$8:$E$11,E29)</f>
        <v/>
      </c>
      <c r="K29" s="176">
        <f>IFERROR(I29/J29,"-")</f>
        <v/>
      </c>
    </row>
    <row r="30" ht="13.5" customHeight="1">
      <c r="D30" s="104" t="n">
        <v>4</v>
      </c>
      <c r="E30" s="175" t="inlineStr">
        <is>
          <t>F-103</t>
        </is>
      </c>
      <c r="F30" s="175">
        <f>_xlfn.XLOOKUP($E30,$D$17:$D$20,E$17:E$20,"該当なし")</f>
        <v/>
      </c>
      <c r="G30" s="174">
        <f>SUMIFS($F$8:$F$11,$E$8:$E$11,E30)</f>
        <v/>
      </c>
      <c r="H30" s="181">
        <f>_xlfn.XLOOKUP($E30,$D$17:$D$20,F$17:F$20,"該当なし")</f>
        <v/>
      </c>
      <c r="I30" s="184">
        <f>IFERROR(G30*H30,"-")</f>
        <v/>
      </c>
      <c r="J30" s="184">
        <f>SUMIFS($G$8:$G$11,$E$8:$E$11,E30)</f>
        <v/>
      </c>
      <c r="K30" s="176">
        <f>IFERROR(I30/J30,"-")</f>
        <v/>
      </c>
    </row>
    <row r="31" ht="13.5" customHeight="1">
      <c r="D31" s="167" t="n">
        <v>5</v>
      </c>
      <c r="E31" s="178" t="inlineStr">
        <is>
          <t>F-999</t>
        </is>
      </c>
      <c r="F31" s="178">
        <f>_xlfn.XLOOKUP($E31,$D$17:$D$20,E$17:E$20,"該当なし")</f>
        <v/>
      </c>
      <c r="G31" s="177">
        <f>SUMIFS($F$8:$F$11,$E$8:$E$11,E31)</f>
        <v/>
      </c>
      <c r="H31" s="182">
        <f>_xlfn.XLOOKUP($E31,$D$17:$D$20,F$17:F$20,"該当なし")</f>
        <v/>
      </c>
      <c r="I31" s="185">
        <f>IFERROR(G31*H31,"-")</f>
        <v/>
      </c>
      <c r="J31" s="185">
        <f>SUMIFS($G$8:$G$11,$E$8:$E$11,E31)</f>
        <v/>
      </c>
      <c r="K31" s="179">
        <f>IFERROR(I31/J31,"-")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2026-07-20T16:11:38Z</dcterms:created>
  <dcterms:modified xsi:type="dcterms:W3CDTF">2026-07-21T03:46:56Z</dcterms:modified>
  <cp:lastModifiedBy>ARTH.inc</cp:lastModifiedBy>
</cp:coreProperties>
</file>